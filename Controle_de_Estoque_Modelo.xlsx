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omo usar" sheetId="2" state="visible" r:id="rId4"/>
    <sheet name="Listas" sheetId="3" state="visible" r:id="rId5"/>
    <sheet name="Estoque" sheetId="4" state="visible" r:id="rId6"/>
    <sheet name="Movimentaçõ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<sst xmlns="http://schemas.openxmlformats.org/spreadsheetml/2006/main" count="243" uniqueCount="99">
  <si>
    <t xml:space="preserve">PAINEL DE ESTOQUE E SOBRAS</t>
  </si>
  <si>
    <t xml:space="preserve">Tudo calculado automaticamente. Dados fictícios de demonstração.</t>
  </si>
  <si>
    <t xml:space="preserve">Produtos cadastrados</t>
  </si>
  <si>
    <t xml:space="preserve">Kits lacrados em estoque</t>
  </si>
  <si>
    <t xml:space="preserve">Acessórios em estoque (unidades)</t>
  </si>
  <si>
    <t xml:space="preserve">Saldo de sobras (kits)</t>
  </si>
  <si>
    <t xml:space="preserve">Produtos para repor</t>
  </si>
  <si>
    <t xml:space="preserve">Alertas de dados a corrigir</t>
  </si>
  <si>
    <t xml:space="preserve">Por fornecedor</t>
  </si>
  <si>
    <t xml:space="preserve">Fornecedor</t>
  </si>
  <si>
    <t xml:space="preserve">Kits lacrados</t>
  </si>
  <si>
    <t xml:space="preserve">Sobras (kits)</t>
  </si>
  <si>
    <t xml:space="preserve">Acessórios</t>
  </si>
  <si>
    <t xml:space="preserve">Total</t>
  </si>
  <si>
    <t xml:space="preserve">Kits e acessórios ficam separados de propósito: somar baldes e pincéis com kits distorce o total.</t>
  </si>
  <si>
    <t xml:space="preserve">COMO USAR ESTA PLANILHA</t>
  </si>
  <si>
    <t xml:space="preserve">Legenda: célula amarela com texto azul = você preenche. Célula cinza = fórmula, não edite.</t>
  </si>
  <si>
    <t xml:space="preserve">Exemplo de linha em Movimentações: 02/10/2026 | Retorno de sobra | KT-01 | Instalador A | 1/2 kit  (a Qtd considerada vira 0,50 kit).</t>
  </si>
  <si>
    <t xml:space="preserve">REGRAS QUE EVITAM ERRO</t>
  </si>
  <si>
    <t xml:space="preserve">1. Um código = um produto. A aba Estoque bloqueia código repetido e marca "Código duplicado" se aparecer.</t>
  </si>
  <si>
    <t xml:space="preserve">2. O código é escolhido em lista na aba Movimentações, nunca digitado. Isso evita espaço extra e letra errada.</t>
  </si>
  <si>
    <t xml:space="preserve">3. Sobras de kit são lançadas por medida (1/4, 1/2, 3/4 ou 1 kit) e viram fração do kit automaticamente.</t>
  </si>
  <si>
    <t xml:space="preserve">4. Se sair mais sobra do que existe, o Status do produto mostra "Saldo de sobras negativo" e o Painel conta o alerta.</t>
  </si>
  <si>
    <t xml:space="preserve">5. As fórmulas já estão prontas até a linha 505 de Movimentações. Não deixe linhas sem fórmula ao copiar e colar.</t>
  </si>
  <si>
    <t xml:space="preserve">6. Kits e acessórios são somados separadamente no Painel.</t>
  </si>
  <si>
    <t xml:space="preserve">STATUS DO ESTOQUE</t>
  </si>
  <si>
    <t xml:space="preserve">OK: saldo acima do mínimo.  Repor: saldo igual ou abaixo do mínimo.  Os demais status indicam dado a corrigir.</t>
  </si>
  <si>
    <t xml:space="preserve">PREMISSAS</t>
  </si>
  <si>
    <t xml:space="preserve">Frações de sobra (aba Listas) e estoque mínimo por produto são valores de exemplo definidos neste modelo. Ajuste à sua operação.</t>
  </si>
  <si>
    <t xml:space="preserve">Medida da sobra</t>
  </si>
  <si>
    <t xml:space="preserve">Fração do kit</t>
  </si>
  <si>
    <t xml:space="preserve">Tipo de movimentação</t>
  </si>
  <si>
    <t xml:space="preserve">Tipo de item</t>
  </si>
  <si>
    <t xml:space="preserve">1/4 kit</t>
  </si>
  <si>
    <t xml:space="preserve">Entrada</t>
  </si>
  <si>
    <t xml:space="preserve">Fornecedor Alfa</t>
  </si>
  <si>
    <t xml:space="preserve">Kit</t>
  </si>
  <si>
    <t xml:space="preserve">1/2 kit</t>
  </si>
  <si>
    <t xml:space="preserve">Saída</t>
  </si>
  <si>
    <t xml:space="preserve">Fornecedor Beta</t>
  </si>
  <si>
    <t xml:space="preserve">Acessório</t>
  </si>
  <si>
    <t xml:space="preserve">3/4 kit</t>
  </si>
  <si>
    <t xml:space="preserve">Retorno de sobra</t>
  </si>
  <si>
    <t xml:space="preserve">1 kit</t>
  </si>
  <si>
    <t xml:space="preserve">Saída de sobra</t>
  </si>
  <si>
    <t xml:space="preserve">Fração do kit: valores fixos escolhidos para o modelo (premissa). Troque se a sua operação usar outras medidas.</t>
  </si>
  <si>
    <t xml:space="preserve">ESTOQUE (calculado a partir das Movimentações)</t>
  </si>
  <si>
    <t xml:space="preserve">Dados 100% fictícios, apenas para demonstração. Células amarelas = você preenche. Células cinza = fórmulas, não edite.</t>
  </si>
  <si>
    <t xml:space="preserve">Cadastre produtos nas linhas 6 a 45. Cada código só pode existir uma vez.</t>
  </si>
  <si>
    <t xml:space="preserve">Código</t>
  </si>
  <si>
    <t xml:space="preserve">Produto</t>
  </si>
  <si>
    <t xml:space="preserve">Tipo</t>
  </si>
  <si>
    <t xml:space="preserve">Estoque mínimo</t>
  </si>
  <si>
    <t xml:space="preserve">Entradas</t>
  </si>
  <si>
    <t xml:space="preserve">Saídas</t>
  </si>
  <si>
    <t xml:space="preserve">Saldo lacrado</t>
  </si>
  <si>
    <t xml:space="preserve">Sobras que entraram (kits)</t>
  </si>
  <si>
    <t xml:space="preserve">Sobras que saíram (kits)</t>
  </si>
  <si>
    <t xml:space="preserve">Status</t>
  </si>
  <si>
    <t xml:space="preserve">KT-01</t>
  </si>
  <si>
    <t xml:space="preserve">Kit Cinza Claro</t>
  </si>
  <si>
    <t xml:space="preserve">KT-02</t>
  </si>
  <si>
    <t xml:space="preserve">Kit Preto</t>
  </si>
  <si>
    <t xml:space="preserve">KT-03</t>
  </si>
  <si>
    <t xml:space="preserve">Kit Grafite</t>
  </si>
  <si>
    <t xml:space="preserve">KT-04</t>
  </si>
  <si>
    <t xml:space="preserve">Kit Bege</t>
  </si>
  <si>
    <t xml:space="preserve">KT-05</t>
  </si>
  <si>
    <t xml:space="preserve">Kit Areia</t>
  </si>
  <si>
    <t xml:space="preserve">KT-06</t>
  </si>
  <si>
    <t xml:space="preserve">Kit Azul Marinho</t>
  </si>
  <si>
    <t xml:space="preserve">KT-07</t>
  </si>
  <si>
    <t xml:space="preserve">Kit Branco</t>
  </si>
  <si>
    <t xml:space="preserve">KT-08</t>
  </si>
  <si>
    <t xml:space="preserve">Kit Terracota</t>
  </si>
  <si>
    <t xml:space="preserve">AC-01</t>
  </si>
  <si>
    <t xml:space="preserve">Selador de acabamento</t>
  </si>
  <si>
    <t xml:space="preserve">AC-02</t>
  </si>
  <si>
    <t xml:space="preserve">Balde 5 L</t>
  </si>
  <si>
    <t xml:space="preserve">AC-03</t>
  </si>
  <si>
    <t xml:space="preserve">Pincel</t>
  </si>
  <si>
    <t xml:space="preserve">AC-04</t>
  </si>
  <si>
    <t xml:space="preserve">Rolo</t>
  </si>
  <si>
    <t xml:space="preserve">AC-05</t>
  </si>
  <si>
    <t xml:space="preserve">Fita crepe</t>
  </si>
  <si>
    <t xml:space="preserve">AC-06</t>
  </si>
  <si>
    <t xml:space="preserve">Caixa de luvas</t>
  </si>
  <si>
    <t xml:space="preserve">MOVIMENTAÇÕES (registre aqui tudo que entra e sai)</t>
  </si>
  <si>
    <t xml:space="preserve">Preencha só as colunas amarelas. Escolha o código na lista, não digite. Fórmulas prontas até a linha 505.</t>
  </si>
  <si>
    <t xml:space="preserve">Sobras: escolha a medida (coluna G). A quantidade (H) é opcional e vale 1 se ficar em branco. Todos os dados abaixo são fictícios.</t>
  </si>
  <si>
    <t xml:space="preserve">Data</t>
  </si>
  <si>
    <t xml:space="preserve">Responsável</t>
  </si>
  <si>
    <t xml:space="preserve">Quantidade</t>
  </si>
  <si>
    <t xml:space="preserve">Qtd considerada</t>
  </si>
  <si>
    <t xml:space="preserve">Alerta</t>
  </si>
  <si>
    <t xml:space="preserve">Compras</t>
  </si>
  <si>
    <t xml:space="preserve">Instalador A</t>
  </si>
  <si>
    <t xml:space="preserve">Instalador B</t>
  </si>
  <si>
    <t xml:space="preserve">Instalador 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</si>
</sst>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General"/>
    <numFmt numFmtId="168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F9F9F9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lacrado por produto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Estoque!H5</c:f>
              <c:strCache>
                <c:ptCount val="1"/>
                <c:pt idx="0">
                  <c:v>Saldo lacrado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Estoque!$C$6:$C$19</c:f>
              <c:strCache>
                <c:ptCount val="14"/>
                <c:pt idx="0">
                  <c:v>Kit Cinza Claro</c:v>
                </c:pt>
                <c:pt idx="1">
                  <c:v>Kit Preto</c:v>
                </c:pt>
                <c:pt idx="2">
                  <c:v>Kit Grafite</c:v>
                </c:pt>
                <c:pt idx="3">
                  <c:v>Kit Bege</c:v>
                </c:pt>
                <c:pt idx="4">
                  <c:v>Kit Areia</c:v>
                </c:pt>
                <c:pt idx="5">
                  <c:v>Kit Azul Marinho</c:v>
                </c:pt>
                <c:pt idx="6">
                  <c:v>Kit Branco</c:v>
                </c:pt>
                <c:pt idx="7">
                  <c:v>Kit Terracota</c:v>
                </c:pt>
                <c:pt idx="8">
                  <c:v>Selador de acabamento</c:v>
                </c:pt>
                <c:pt idx="9">
                  <c:v>Balde 5 L</c:v>
                </c:pt>
                <c:pt idx="10">
                  <c:v>Pincel</c:v>
                </c:pt>
                <c:pt idx="11">
                  <c:v>Rolo</c:v>
                </c:pt>
                <c:pt idx="12">
                  <c:v>Fita crepe</c:v>
                </c:pt>
                <c:pt idx="13">
                  <c:v>Caixa de luvas</c:v>
                </c:pt>
              </c:strCache>
            </c:strRef>
          </c:cat>
          <c:val>
            <c:numRef>
              <c:f>Estoque!$H$6:$H$19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4</c:v>
                </c:pt>
              </c:numCache>
            </c:numRef>
          </c:val>
        </c:ser>
        <c:gapWidth val="150"/>
        <c:overlap val="0"/>
        <c:axId val="32543075"/>
        <c:axId val="38114243"/>
      </c:barChart>
      <c:catAx>
        <c:axId val="32543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14243"/>
        <c:crosses val="autoZero"/>
        <c:auto val="1"/>
        <c:lblAlgn val="ctr"/>
        <c:lblOffset val="100"/>
        <c:noMultiLvlLbl val="0"/>
      </c:catAx>
      <c:valAx>
        <c:axId val="38114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430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16</xdr:col>
      <xdr:colOff>255960</xdr:colOff>
      <xdr:row>14</xdr:row>
      <xdr:rowOff>131760</xdr:rowOff>
    </xdr:to>
    <xdr:graphicFrame>
      <xdr:nvGraphicFramePr>
        <xdr:cNvPr id="0" name="Chart 1"/>
        <xdr:cNvGraphicFramePr/>
      </xdr:nvGraphicFramePr>
      <xdr:xfrm>
        <a:off x="72370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</row>
    <row r="5" customFormat="false" ht="30" hidden="false" customHeight="true" outlineLevel="0" collapsed="false">
      <c r="A5" s="4" t="n">
        <f aca="false">COUNTA(Estoque!A6:A45)</f>
        <v>14</v>
      </c>
      <c r="B5" s="4"/>
      <c r="C5" s="4" t="n">
        <f aca="false">SUMIFS(Estoque!H6:H45,Estoque!D6:D45,"Kit")</f>
        <v>18</v>
      </c>
      <c r="D5" s="4"/>
      <c r="E5" s="4" t="n">
        <f aca="false">SUMIFS(Estoque!H6:H45,Estoque!D6:D45,"Acessório")</f>
        <v>28</v>
      </c>
      <c r="F5" s="4"/>
    </row>
    <row r="7" customFormat="false" ht="30" hidden="false" customHeight="true" outlineLevel="0" collapsed="false">
      <c r="A7" s="3" t="s">
        <v>5</v>
      </c>
      <c r="B7" s="3"/>
      <c r="C7" s="3" t="s">
        <v>6</v>
      </c>
      <c r="D7" s="3"/>
      <c r="E7" s="3" t="s">
        <v>7</v>
      </c>
      <c r="F7" s="3"/>
    </row>
    <row r="8" customFormat="false" ht="30" hidden="false" customHeight="true" outlineLevel="0" collapsed="false">
      <c r="A8" s="5" t="n">
        <f aca="false">SUM(Estoque!K6:K45)</f>
        <v>1.25</v>
      </c>
      <c r="B8" s="5"/>
      <c r="C8" s="4" t="n">
        <f aca="false">COUNTIF(Estoque!L6:L45,"Repor")</f>
        <v>7</v>
      </c>
      <c r="D8" s="4"/>
      <c r="E8" s="4" t="n">
        <f aca="false">COUNTIF(Estoque!L6:L45,"Código duplicado")+COUNTIF(Estoque!L6:L45,"*negativo")+COUNTIF(Movimentações!J6:J505,"⚠*")</f>
        <v>0</v>
      </c>
      <c r="F8" s="4"/>
    </row>
    <row r="10" customFormat="false" ht="15" hidden="false" customHeight="false" outlineLevel="0" collapsed="false">
      <c r="A10" s="6" t="s">
        <v>8</v>
      </c>
    </row>
    <row r="11" customFormat="false" ht="15" hidden="false" customHeight="false" outlineLevel="0" collapsed="false">
      <c r="A11" s="7" t="s">
        <v>9</v>
      </c>
      <c r="B11" s="7" t="s">
        <v>10</v>
      </c>
      <c r="C11" s="7" t="s">
        <v>11</v>
      </c>
      <c r="D11" s="7" t="s">
        <v>12</v>
      </c>
    </row>
    <row r="12" customFormat="false" ht="15" hidden="false" customHeight="false" outlineLevel="0" collapsed="false">
      <c r="A12" s="8" t="str">
        <f aca="false">Listas!F2</f>
        <v>Fornecedor Alfa</v>
      </c>
      <c r="B12" s="8" t="n">
        <f aca="false">SUMIFS(Estoque!$H$6:$H$45,Estoque!$B$6:$B$45,$A12,Estoque!$D$6:$D$45,"Kit")</f>
        <v>7</v>
      </c>
      <c r="C12" s="9" t="n">
        <f aca="false">SUMIFS(Estoque!$K$6:$K$45,Estoque!$B$6:$B$45,$A12)</f>
        <v>0.75</v>
      </c>
      <c r="D12" s="8" t="n">
        <f aca="false">SUMIFS(Estoque!$H$6:$H$45,Estoque!$B$6:$B$45,$A12,Estoque!$D$6:$D$45,"Acessório")</f>
        <v>12</v>
      </c>
    </row>
    <row r="13" customFormat="false" ht="15" hidden="false" customHeight="false" outlineLevel="0" collapsed="false">
      <c r="A13" s="8" t="str">
        <f aca="false">Listas!F3</f>
        <v>Fornecedor Beta</v>
      </c>
      <c r="B13" s="8" t="n">
        <f aca="false">SUMIFS(Estoque!$H$6:$H$45,Estoque!$B$6:$B$45,$A13,Estoque!$D$6:$D$45,"Kit")</f>
        <v>11</v>
      </c>
      <c r="C13" s="9" t="n">
        <f aca="false">SUMIFS(Estoque!$K$6:$K$45,Estoque!$B$6:$B$45,$A13)</f>
        <v>0.5</v>
      </c>
      <c r="D13" s="8" t="n">
        <f aca="false">SUMIFS(Estoque!$H$6:$H$45,Estoque!$B$6:$B$45,$A13,Estoque!$D$6:$D$45,"Acessório")</f>
        <v>16</v>
      </c>
    </row>
    <row r="14" customFormat="false" ht="15" hidden="false" customHeight="false" outlineLevel="0" collapsed="false">
      <c r="A14" s="10" t="s">
        <v>13</v>
      </c>
      <c r="B14" s="10" t="n">
        <f aca="false">SUM(B12:B13)</f>
        <v>18</v>
      </c>
      <c r="C14" s="11" t="n">
        <f aca="false">SUM(C12:C13)</f>
        <v>1.25</v>
      </c>
      <c r="D14" s="10" t="n">
        <f aca="false">SUM(D12:D13)</f>
        <v>28</v>
      </c>
    </row>
    <row r="16" customFormat="false" ht="15" hidden="false" customHeight="false" outlineLevel="0" collapsed="false">
      <c r="A16" s="2" t="s">
        <v>14</v>
      </c>
    </row>
  </sheetData>
  <mergeCells count="12"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A8:B8"/>
    <mergeCell ref="C8:D8"/>
    <mergeCell ref="E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2" t="s">
        <v>15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16</v>
      </c>
    </row>
    <row r="4" customFormat="false" ht="15" hidden="false" customHeight="false" outlineLevel="0" collapsed="false">
      <c r="A4" s="13" t="s">
        <v>17</v>
      </c>
    </row>
    <row r="5" customFormat="false" ht="15" hidden="false" customHeight="false" outlineLevel="0" collapsed="false">
      <c r="A5" s="13"/>
    </row>
    <row r="6" customFormat="false" ht="15" hidden="false" customHeight="false" outlineLevel="0" collapsed="false">
      <c r="A6" s="14" t="s">
        <v>18</v>
      </c>
    </row>
    <row r="7" customFormat="false" ht="15" hidden="false" customHeight="false" outlineLevel="0" collapsed="false">
      <c r="A7" s="13" t="s">
        <v>19</v>
      </c>
    </row>
    <row r="8" customFormat="false" ht="15" hidden="false" customHeight="false" outlineLevel="0" collapsed="false">
      <c r="A8" s="13" t="s">
        <v>20</v>
      </c>
    </row>
    <row r="9" customFormat="false" ht="15" hidden="false" customHeight="false" outlineLevel="0" collapsed="false">
      <c r="A9" s="13" t="s">
        <v>21</v>
      </c>
    </row>
    <row r="10" customFormat="false" ht="15" hidden="false" customHeight="false" outlineLevel="0" collapsed="false">
      <c r="A10" s="13" t="s">
        <v>22</v>
      </c>
    </row>
    <row r="11" customFormat="false" ht="15" hidden="false" customHeight="false" outlineLevel="0" collapsed="false">
      <c r="A11" s="13" t="s">
        <v>23</v>
      </c>
    </row>
    <row r="12" customFormat="false" ht="15" hidden="false" customHeight="false" outlineLevel="0" collapsed="false">
      <c r="A12" s="13" t="s">
        <v>24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4" t="s">
        <v>25</v>
      </c>
    </row>
    <row r="15" customFormat="false" ht="15" hidden="false" customHeight="false" outlineLevel="0" collapsed="false">
      <c r="A15" s="13" t="s">
        <v>26</v>
      </c>
    </row>
    <row r="16" customFormat="false" ht="15" hidden="false" customHeight="false" outlineLevel="0" collapsed="false">
      <c r="A16" s="13"/>
    </row>
    <row r="17" customFormat="false" ht="15" hidden="false" customHeight="false" outlineLevel="0" collapsed="false">
      <c r="A17" s="14" t="s">
        <v>27</v>
      </c>
    </row>
    <row r="18" customFormat="false" ht="15" hidden="false" customHeight="false" outlineLevel="0" collapsed="false">
      <c r="A18" s="1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7" t="s">
        <v>29</v>
      </c>
      <c r="B1" s="7" t="s">
        <v>30</v>
      </c>
      <c r="D1" s="7" t="s">
        <v>31</v>
      </c>
      <c r="F1" s="7" t="s">
        <v>9</v>
      </c>
      <c r="H1" s="7" t="s">
        <v>32</v>
      </c>
    </row>
    <row r="2" customFormat="false" ht="15" hidden="false" customHeight="false" outlineLevel="0" collapsed="false">
      <c r="A2" s="15" t="s">
        <v>33</v>
      </c>
      <c r="B2" s="16" t="n">
        <v>0.25</v>
      </c>
      <c r="D2" s="15" t="s">
        <v>34</v>
      </c>
      <c r="F2" s="15" t="s">
        <v>35</v>
      </c>
      <c r="H2" s="15" t="s">
        <v>36</v>
      </c>
    </row>
    <row r="3" customFormat="false" ht="15" hidden="false" customHeight="false" outlineLevel="0" collapsed="false">
      <c r="A3" s="15" t="s">
        <v>37</v>
      </c>
      <c r="B3" s="16" t="n">
        <v>0.5</v>
      </c>
      <c r="D3" s="15" t="s">
        <v>38</v>
      </c>
      <c r="F3" s="15" t="s">
        <v>39</v>
      </c>
      <c r="H3" s="15" t="s">
        <v>40</v>
      </c>
    </row>
    <row r="4" customFormat="false" ht="15" hidden="false" customHeight="false" outlineLevel="0" collapsed="false">
      <c r="A4" s="15" t="s">
        <v>41</v>
      </c>
      <c r="B4" s="16" t="n">
        <v>0.75</v>
      </c>
      <c r="D4" s="15" t="s">
        <v>42</v>
      </c>
    </row>
    <row r="5" customFormat="false" ht="15" hidden="false" customHeight="false" outlineLevel="0" collapsed="false">
      <c r="A5" s="15" t="s">
        <v>43</v>
      </c>
      <c r="B5" s="16" t="n">
        <v>1</v>
      </c>
      <c r="D5" s="15" t="s">
        <v>44</v>
      </c>
    </row>
    <row r="8" customFormat="false" ht="15" hidden="false" customHeight="false" outlineLevel="0" collapsed="false">
      <c r="A8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7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2" t="s">
        <v>48</v>
      </c>
    </row>
    <row r="5" customFormat="false" ht="42" hidden="false" customHeight="true" outlineLevel="0" collapsed="false">
      <c r="A5" s="7" t="s">
        <v>49</v>
      </c>
      <c r="B5" s="7" t="s">
        <v>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</v>
      </c>
      <c r="L5" s="7" t="s">
        <v>58</v>
      </c>
    </row>
    <row r="6" customFormat="false" ht="15" hidden="false" customHeight="false" outlineLevel="0" collapsed="false">
      <c r="A6" s="18" t="s">
        <v>59</v>
      </c>
      <c r="B6" s="18" t="s">
        <v>35</v>
      </c>
      <c r="C6" s="18" t="s">
        <v>60</v>
      </c>
      <c r="D6" s="18" t="s">
        <v>36</v>
      </c>
      <c r="E6" s="18" t="n">
        <v>2</v>
      </c>
      <c r="F6" s="19" t="n">
        <f aca="false">IF($A6="","",SUMIFS(Movimentações!$I$6:$I$505,Movimentações!$C$6:$C$505,$A6,Movimentações!$B$6:$B$505,"Entrada"))</f>
        <v>8</v>
      </c>
      <c r="G6" s="19" t="n">
        <f aca="false">IF($A6="","",SUMIFS(Movimentações!$I$6:$I$505,Movimentações!$C$6:$C$505,$A6,Movimentações!$B$6:$B$505,"Saída"))</f>
        <v>5</v>
      </c>
      <c r="H6" s="19" t="n">
        <f aca="false">IF($A6="","",F6-G6)</f>
        <v>3</v>
      </c>
      <c r="I6" s="20" t="n">
        <f aca="false">IF($A6="","",SUMIFS(Movimentações!$I$6:$I$505,Movimentações!$C$6:$C$505,$A6,Movimentações!$B$6:$B$505,"Retorno de sobra"))</f>
        <v>0.75</v>
      </c>
      <c r="J6" s="20" t="n">
        <f aca="false">IF($A6="","",SUMIFS(Movimentações!$I$6:$I$505,Movimentações!$C$6:$C$505,$A6,Movimentações!$B$6:$B$505,"Saída de sobra"))</f>
        <v>0.5</v>
      </c>
      <c r="K6" s="20" t="n">
        <f aca="false">IF($A6="","",I6-J6)</f>
        <v>0.25</v>
      </c>
      <c r="L6" s="21" t="str">
        <f aca="false">IF($A6="","",IF(COUNTIF($A$6:$A$45,$A6)&gt;1,"Código duplicado",IF($K6&lt;0,"Saldo de sobras negativo",IF($H6&lt;0,"Saldo lacrado negativo",IF($H6&lt;=$E6,"Repor","OK")))))</f>
        <v>OK</v>
      </c>
    </row>
    <row r="7" customFormat="false" ht="15" hidden="false" customHeight="false" outlineLevel="0" collapsed="false">
      <c r="A7" s="18" t="s">
        <v>61</v>
      </c>
      <c r="B7" s="18" t="s">
        <v>35</v>
      </c>
      <c r="C7" s="18" t="s">
        <v>62</v>
      </c>
      <c r="D7" s="18" t="s">
        <v>36</v>
      </c>
      <c r="E7" s="18" t="n">
        <v>2</v>
      </c>
      <c r="F7" s="19" t="n">
        <f aca="false">IF($A7="","",SUMIFS(Movimentações!$I$6:$I$505,Movimentações!$C$6:$C$505,$A7,Movimentações!$B$6:$B$505,"Entrada"))</f>
        <v>6</v>
      </c>
      <c r="G7" s="19" t="n">
        <f aca="false">IF($A7="","",SUMIFS(Movimentações!$I$6:$I$505,Movimentações!$C$6:$C$505,$A7,Movimentações!$B$6:$B$505,"Saída"))</f>
        <v>4</v>
      </c>
      <c r="H7" s="19" t="n">
        <f aca="false">IF($A7="","",F7-G7)</f>
        <v>2</v>
      </c>
      <c r="I7" s="20" t="n">
        <f aca="false">IF($A7="","",SUMIFS(Movimentações!$I$6:$I$505,Movimentações!$C$6:$C$505,$A7,Movimentações!$B$6:$B$505,"Retorno de sobra"))</f>
        <v>0.25</v>
      </c>
      <c r="J7" s="20" t="n">
        <f aca="false">IF($A7="","",SUMIFS(Movimentações!$I$6:$I$505,Movimentações!$C$6:$C$505,$A7,Movimentações!$B$6:$B$505,"Saída de sobra"))</f>
        <v>0</v>
      </c>
      <c r="K7" s="20" t="n">
        <f aca="false">IF($A7="","",I7-J7)</f>
        <v>0.25</v>
      </c>
      <c r="L7" s="21" t="str">
        <f aca="false">IF($A7="","",IF(COUNTIF($A$6:$A$45,$A7)&gt;1,"Código duplicado",IF($K7&lt;0,"Saldo de sobras negativo",IF($H7&lt;0,"Saldo lacrado negativo",IF($H7&lt;=$E7,"Repor","OK")))))</f>
        <v>Repor</v>
      </c>
    </row>
    <row r="8" customFormat="false" ht="15" hidden="false" customHeight="false" outlineLevel="0" collapsed="false">
      <c r="A8" s="18" t="s">
        <v>63</v>
      </c>
      <c r="B8" s="18" t="s">
        <v>35</v>
      </c>
      <c r="C8" s="18" t="s">
        <v>64</v>
      </c>
      <c r="D8" s="18" t="s">
        <v>36</v>
      </c>
      <c r="E8" s="18" t="n">
        <v>2</v>
      </c>
      <c r="F8" s="19" t="n">
        <f aca="false">IF($A8="","",SUMIFS(Movimentações!$I$6:$I$505,Movimentações!$C$6:$C$505,$A8,Movimentações!$B$6:$B$505,"Entrada"))</f>
        <v>5</v>
      </c>
      <c r="G8" s="19" t="n">
        <f aca="false">IF($A8="","",SUMIFS(Movimentações!$I$6:$I$505,Movimentações!$C$6:$C$505,$A8,Movimentações!$B$6:$B$505,"Saída"))</f>
        <v>4</v>
      </c>
      <c r="H8" s="19" t="n">
        <f aca="false">IF($A8="","",F8-G8)</f>
        <v>1</v>
      </c>
      <c r="I8" s="20" t="n">
        <f aca="false">IF($A8="","",SUMIFS(Movimentações!$I$6:$I$505,Movimentações!$C$6:$C$505,$A8,Movimentações!$B$6:$B$505,"Retorno de sobra"))</f>
        <v>0.25</v>
      </c>
      <c r="J8" s="20" t="n">
        <f aca="false">IF($A8="","",SUMIFS(Movimentações!$I$6:$I$505,Movimentações!$C$6:$C$505,$A8,Movimentações!$B$6:$B$505,"Saída de sobra"))</f>
        <v>0</v>
      </c>
      <c r="K8" s="20" t="n">
        <f aca="false">IF($A8="","",I8-J8)</f>
        <v>0.25</v>
      </c>
      <c r="L8" s="21" t="str">
        <f aca="false">IF($A8="","",IF(COUNTIF($A$6:$A$45,$A8)&gt;1,"Código duplicado",IF($K8&lt;0,"Saldo de sobras negativo",IF($H8&lt;0,"Saldo lacrado negativo",IF($H8&lt;=$E8,"Repor","OK")))))</f>
        <v>Repor</v>
      </c>
    </row>
    <row r="9" customFormat="false" ht="15" hidden="false" customHeight="false" outlineLevel="0" collapsed="false">
      <c r="A9" s="18" t="s">
        <v>65</v>
      </c>
      <c r="B9" s="18" t="s">
        <v>35</v>
      </c>
      <c r="C9" s="18" t="s">
        <v>66</v>
      </c>
      <c r="D9" s="18" t="s">
        <v>36</v>
      </c>
      <c r="E9" s="18" t="n">
        <v>2</v>
      </c>
      <c r="F9" s="19" t="n">
        <f aca="false">IF($A9="","",SUMIFS(Movimentações!$I$6:$I$505,Movimentações!$C$6:$C$505,$A9,Movimentações!$B$6:$B$505,"Entrada"))</f>
        <v>4</v>
      </c>
      <c r="G9" s="19" t="n">
        <f aca="false">IF($A9="","",SUMIFS(Movimentações!$I$6:$I$505,Movimentações!$C$6:$C$505,$A9,Movimentações!$B$6:$B$505,"Saída"))</f>
        <v>3</v>
      </c>
      <c r="H9" s="19" t="n">
        <f aca="false">IF($A9="","",F9-G9)</f>
        <v>1</v>
      </c>
      <c r="I9" s="20" t="n">
        <f aca="false">IF($A9="","",SUMIFS(Movimentações!$I$6:$I$505,Movimentações!$C$6:$C$505,$A9,Movimentações!$B$6:$B$505,"Retorno de sobra"))</f>
        <v>0</v>
      </c>
      <c r="J9" s="20" t="n">
        <f aca="false">IF($A9="","",SUMIFS(Movimentações!$I$6:$I$505,Movimentações!$C$6:$C$505,$A9,Movimentações!$B$6:$B$505,"Saída de sobra"))</f>
        <v>0</v>
      </c>
      <c r="K9" s="20" t="n">
        <f aca="false">IF($A9="","",I9-J9)</f>
        <v>0</v>
      </c>
      <c r="L9" s="21" t="str">
        <f aca="false">IF($A9="","",IF(COUNTIF($A$6:$A$45,$A9)&gt;1,"Código duplicado",IF($K9&lt;0,"Saldo de sobras negativo",IF($H9&lt;0,"Saldo lacrado negativo",IF($H9&lt;=$E9,"Repor","OK")))))</f>
        <v>Repor</v>
      </c>
    </row>
    <row r="10" customFormat="false" ht="15" hidden="false" customHeight="false" outlineLevel="0" collapsed="false">
      <c r="A10" s="18" t="s">
        <v>67</v>
      </c>
      <c r="B10" s="18" t="s">
        <v>39</v>
      </c>
      <c r="C10" s="18" t="s">
        <v>68</v>
      </c>
      <c r="D10" s="18" t="s">
        <v>36</v>
      </c>
      <c r="E10" s="18" t="n">
        <v>2</v>
      </c>
      <c r="F10" s="19" t="n">
        <f aca="false">IF($A10="","",SUMIFS(Movimentações!$I$6:$I$505,Movimentações!$C$6:$C$505,$A10,Movimentações!$B$6:$B$505,"Entrada"))</f>
        <v>6</v>
      </c>
      <c r="G10" s="19" t="n">
        <f aca="false">IF($A10="","",SUMIFS(Movimentações!$I$6:$I$505,Movimentações!$C$6:$C$505,$A10,Movimentações!$B$6:$B$505,"Saída"))</f>
        <v>3</v>
      </c>
      <c r="H10" s="19" t="n">
        <f aca="false">IF($A10="","",F10-G10)</f>
        <v>3</v>
      </c>
      <c r="I10" s="20" t="n">
        <f aca="false">IF($A10="","",SUMIFS(Movimentações!$I$6:$I$505,Movimentações!$C$6:$C$505,$A10,Movimentações!$B$6:$B$505,"Retorno de sobra"))</f>
        <v>0.75</v>
      </c>
      <c r="J10" s="20" t="n">
        <f aca="false">IF($A10="","",SUMIFS(Movimentações!$I$6:$I$505,Movimentações!$C$6:$C$505,$A10,Movimentações!$B$6:$B$505,"Saída de sobra"))</f>
        <v>0.25</v>
      </c>
      <c r="K10" s="20" t="n">
        <f aca="false">IF($A10="","",I10-J10)</f>
        <v>0.5</v>
      </c>
      <c r="L10" s="21" t="str">
        <f aca="false">IF($A10="","",IF(COUNTIF($A$6:$A$45,$A10)&gt;1,"Código duplicado",IF($K10&lt;0,"Saldo de sobras negativo",IF($H10&lt;0,"Saldo lacrado negativo",IF($H10&lt;=$E10,"Repor","OK")))))</f>
        <v>OK</v>
      </c>
    </row>
    <row r="11" customFormat="false" ht="15" hidden="false" customHeight="false" outlineLevel="0" collapsed="false">
      <c r="A11" s="18" t="s">
        <v>69</v>
      </c>
      <c r="B11" s="18" t="s">
        <v>39</v>
      </c>
      <c r="C11" s="18" t="s">
        <v>70</v>
      </c>
      <c r="D11" s="18" t="s">
        <v>36</v>
      </c>
      <c r="E11" s="18" t="n">
        <v>2</v>
      </c>
      <c r="F11" s="19" t="n">
        <f aca="false">IF($A11="","",SUMIFS(Movimentações!$I$6:$I$505,Movimentações!$C$6:$C$505,$A11,Movimentações!$B$6:$B$505,"Entrada"))</f>
        <v>4</v>
      </c>
      <c r="G11" s="19" t="n">
        <f aca="false">IF($A11="","",SUMIFS(Movimentações!$I$6:$I$505,Movimentações!$C$6:$C$505,$A11,Movimentações!$B$6:$B$505,"Saída"))</f>
        <v>2</v>
      </c>
      <c r="H11" s="19" t="n">
        <f aca="false">IF($A11="","",F11-G11)</f>
        <v>2</v>
      </c>
      <c r="I11" s="20" t="n">
        <f aca="false">IF($A11="","",SUMIFS(Movimentações!$I$6:$I$505,Movimentações!$C$6:$C$505,$A11,Movimentações!$B$6:$B$505,"Retorno de sobra"))</f>
        <v>0</v>
      </c>
      <c r="J11" s="20" t="n">
        <f aca="false">IF($A11="","",SUMIFS(Movimentações!$I$6:$I$505,Movimentações!$C$6:$C$505,$A11,Movimentações!$B$6:$B$505,"Saída de sobra"))</f>
        <v>0</v>
      </c>
      <c r="K11" s="20" t="n">
        <f aca="false">IF($A11="","",I11-J11)</f>
        <v>0</v>
      </c>
      <c r="L11" s="21" t="str">
        <f aca="false">IF($A11="","",IF(COUNTIF($A$6:$A$45,$A11)&gt;1,"Código duplicado",IF($K11&lt;0,"Saldo de sobras negativo",IF($H11&lt;0,"Saldo lacrado negativo",IF($H11&lt;=$E11,"Repor","OK")))))</f>
        <v>Repor</v>
      </c>
    </row>
    <row r="12" customFormat="false" ht="15" hidden="false" customHeight="false" outlineLevel="0" collapsed="false">
      <c r="A12" s="18" t="s">
        <v>71</v>
      </c>
      <c r="B12" s="18" t="s">
        <v>39</v>
      </c>
      <c r="C12" s="18" t="s">
        <v>72</v>
      </c>
      <c r="D12" s="18" t="s">
        <v>36</v>
      </c>
      <c r="E12" s="18" t="n">
        <v>2</v>
      </c>
      <c r="F12" s="19" t="n">
        <f aca="false">IF($A12="","",SUMIFS(Movimentações!$I$6:$I$505,Movimentações!$C$6:$C$505,$A12,Movimentações!$B$6:$B$505,"Entrada"))</f>
        <v>6</v>
      </c>
      <c r="G12" s="19" t="n">
        <f aca="false">IF($A12="","",SUMIFS(Movimentações!$I$6:$I$505,Movimentações!$C$6:$C$505,$A12,Movimentações!$B$6:$B$505,"Saída"))</f>
        <v>2</v>
      </c>
      <c r="H12" s="19" t="n">
        <f aca="false">IF($A12="","",F12-G12)</f>
        <v>4</v>
      </c>
      <c r="I12" s="20" t="n">
        <f aca="false">IF($A12="","",SUMIFS(Movimentações!$I$6:$I$505,Movimentações!$C$6:$C$505,$A12,Movimentações!$B$6:$B$505,"Retorno de sobra"))</f>
        <v>0</v>
      </c>
      <c r="J12" s="20" t="n">
        <f aca="false">IF($A12="","",SUMIFS(Movimentações!$I$6:$I$505,Movimentações!$C$6:$C$505,$A12,Movimentações!$B$6:$B$505,"Saída de sobra"))</f>
        <v>0</v>
      </c>
      <c r="K12" s="20" t="n">
        <f aca="false">IF($A12="","",I12-J12)</f>
        <v>0</v>
      </c>
      <c r="L12" s="21" t="str">
        <f aca="false">IF($A12="","",IF(COUNTIF($A$6:$A$45,$A12)&gt;1,"Código duplicado",IF($K12&lt;0,"Saldo de sobras negativo",IF($H12&lt;0,"Saldo lacrado negativo",IF($H12&lt;=$E12,"Repor","OK")))))</f>
        <v>OK</v>
      </c>
    </row>
    <row r="13" customFormat="false" ht="15" hidden="false" customHeight="false" outlineLevel="0" collapsed="false">
      <c r="A13" s="18" t="s">
        <v>73</v>
      </c>
      <c r="B13" s="18" t="s">
        <v>39</v>
      </c>
      <c r="C13" s="18" t="s">
        <v>74</v>
      </c>
      <c r="D13" s="18" t="s">
        <v>36</v>
      </c>
      <c r="E13" s="18" t="n">
        <v>2</v>
      </c>
      <c r="F13" s="19" t="n">
        <f aca="false">IF($A13="","",SUMIFS(Movimentações!$I$6:$I$505,Movimentações!$C$6:$C$505,$A13,Movimentações!$B$6:$B$505,"Entrada"))</f>
        <v>3</v>
      </c>
      <c r="G13" s="19" t="n">
        <f aca="false">IF($A13="","",SUMIFS(Movimentações!$I$6:$I$505,Movimentações!$C$6:$C$505,$A13,Movimentações!$B$6:$B$505,"Saída"))</f>
        <v>1</v>
      </c>
      <c r="H13" s="19" t="n">
        <f aca="false">IF($A13="","",F13-G13)</f>
        <v>2</v>
      </c>
      <c r="I13" s="20" t="n">
        <f aca="false">IF($A13="","",SUMIFS(Movimentações!$I$6:$I$505,Movimentações!$C$6:$C$505,$A13,Movimentações!$B$6:$B$505,"Retorno de sobra"))</f>
        <v>0</v>
      </c>
      <c r="J13" s="20" t="n">
        <f aca="false">IF($A13="","",SUMIFS(Movimentações!$I$6:$I$505,Movimentações!$C$6:$C$505,$A13,Movimentações!$B$6:$B$505,"Saída de sobra"))</f>
        <v>0</v>
      </c>
      <c r="K13" s="20" t="n">
        <f aca="false">IF($A13="","",I13-J13)</f>
        <v>0</v>
      </c>
      <c r="L13" s="21" t="str">
        <f aca="false">IF($A13="","",IF(COUNTIF($A$6:$A$45,$A13)&gt;1,"Código duplicado",IF($K13&lt;0,"Saldo de sobras negativo",IF($H13&lt;0,"Saldo lacrado negativo",IF($H13&lt;=$E13,"Repor","OK")))))</f>
        <v>Repor</v>
      </c>
    </row>
    <row r="14" customFormat="false" ht="15" hidden="false" customHeight="false" outlineLevel="0" collapsed="false">
      <c r="A14" s="18" t="s">
        <v>75</v>
      </c>
      <c r="B14" s="18" t="s">
        <v>35</v>
      </c>
      <c r="C14" s="18" t="s">
        <v>76</v>
      </c>
      <c r="D14" s="18" t="s">
        <v>40</v>
      </c>
      <c r="E14" s="18" t="n">
        <v>3</v>
      </c>
      <c r="F14" s="19" t="n">
        <f aca="false">IF($A14="","",SUMIFS(Movimentações!$I$6:$I$505,Movimentações!$C$6:$C$505,$A14,Movimentações!$B$6:$B$505,"Entrada"))</f>
        <v>10</v>
      </c>
      <c r="G14" s="19" t="n">
        <f aca="false">IF($A14="","",SUMIFS(Movimentações!$I$6:$I$505,Movimentações!$C$6:$C$505,$A14,Movimentações!$B$6:$B$505,"Saída"))</f>
        <v>6</v>
      </c>
      <c r="H14" s="19" t="n">
        <f aca="false">IF($A14="","",F14-G14)</f>
        <v>4</v>
      </c>
      <c r="I14" s="20" t="n">
        <f aca="false">IF($A14="","",SUMIFS(Movimentações!$I$6:$I$505,Movimentações!$C$6:$C$505,$A14,Movimentações!$B$6:$B$505,"Retorno de sobra"))</f>
        <v>0</v>
      </c>
      <c r="J14" s="20" t="n">
        <f aca="false">IF($A14="","",SUMIFS(Movimentações!$I$6:$I$505,Movimentações!$C$6:$C$505,$A14,Movimentações!$B$6:$B$505,"Saída de sobra"))</f>
        <v>0</v>
      </c>
      <c r="K14" s="20" t="n">
        <f aca="false">IF($A14="","",I14-J14)</f>
        <v>0</v>
      </c>
      <c r="L14" s="21" t="str">
        <f aca="false">IF($A14="","",IF(COUNTIF($A$6:$A$45,$A14)&gt;1,"Código duplicado",IF($K14&lt;0,"Saldo de sobras negativo",IF($H14&lt;0,"Saldo lacrado negativo",IF($H14&lt;=$E14,"Repor","OK")))))</f>
        <v>OK</v>
      </c>
    </row>
    <row r="15" customFormat="false" ht="15" hidden="false" customHeight="false" outlineLevel="0" collapsed="false">
      <c r="A15" s="18" t="s">
        <v>77</v>
      </c>
      <c r="B15" s="18" t="s">
        <v>35</v>
      </c>
      <c r="C15" s="18" t="s">
        <v>78</v>
      </c>
      <c r="D15" s="18" t="s">
        <v>40</v>
      </c>
      <c r="E15" s="18" t="n">
        <v>5</v>
      </c>
      <c r="F15" s="19" t="n">
        <f aca="false">IF($A15="","",SUMIFS(Movimentações!$I$6:$I$505,Movimentações!$C$6:$C$505,$A15,Movimentações!$B$6:$B$505,"Entrada"))</f>
        <v>12</v>
      </c>
      <c r="G15" s="19" t="n">
        <f aca="false">IF($A15="","",SUMIFS(Movimentações!$I$6:$I$505,Movimentações!$C$6:$C$505,$A15,Movimentações!$B$6:$B$505,"Saída"))</f>
        <v>8</v>
      </c>
      <c r="H15" s="19" t="n">
        <f aca="false">IF($A15="","",F15-G15)</f>
        <v>4</v>
      </c>
      <c r="I15" s="20" t="n">
        <f aca="false">IF($A15="","",SUMIFS(Movimentações!$I$6:$I$505,Movimentações!$C$6:$C$505,$A15,Movimentações!$B$6:$B$505,"Retorno de sobra"))</f>
        <v>0</v>
      </c>
      <c r="J15" s="20" t="n">
        <f aca="false">IF($A15="","",SUMIFS(Movimentações!$I$6:$I$505,Movimentações!$C$6:$C$505,$A15,Movimentações!$B$6:$B$505,"Saída de sobra"))</f>
        <v>0</v>
      </c>
      <c r="K15" s="20" t="n">
        <f aca="false">IF($A15="","",I15-J15)</f>
        <v>0</v>
      </c>
      <c r="L15" s="21" t="str">
        <f aca="false">IF($A15="","",IF(COUNTIF($A$6:$A$45,$A15)&gt;1,"Código duplicado",IF($K15&lt;0,"Saldo de sobras negativo",IF($H15&lt;0,"Saldo lacrado negativo",IF($H15&lt;=$E15,"Repor","OK")))))</f>
        <v>Repor</v>
      </c>
    </row>
    <row r="16" customFormat="false" ht="15" hidden="false" customHeight="false" outlineLevel="0" collapsed="false">
      <c r="A16" s="18" t="s">
        <v>79</v>
      </c>
      <c r="B16" s="18" t="s">
        <v>39</v>
      </c>
      <c r="C16" s="18" t="s">
        <v>80</v>
      </c>
      <c r="D16" s="18" t="s">
        <v>40</v>
      </c>
      <c r="E16" s="18" t="n">
        <v>4</v>
      </c>
      <c r="F16" s="19" t="n">
        <f aca="false">IF($A16="","",SUMIFS(Movimentações!$I$6:$I$505,Movimentações!$C$6:$C$505,$A16,Movimentações!$B$6:$B$505,"Entrada"))</f>
        <v>8</v>
      </c>
      <c r="G16" s="19" t="n">
        <f aca="false">IF($A16="","",SUMIFS(Movimentações!$I$6:$I$505,Movimentações!$C$6:$C$505,$A16,Movimentações!$B$6:$B$505,"Saída"))</f>
        <v>5</v>
      </c>
      <c r="H16" s="19" t="n">
        <f aca="false">IF($A16="","",F16-G16)</f>
        <v>3</v>
      </c>
      <c r="I16" s="20" t="n">
        <f aca="false">IF($A16="","",SUMIFS(Movimentações!$I$6:$I$505,Movimentações!$C$6:$C$505,$A16,Movimentações!$B$6:$B$505,"Retorno de sobra"))</f>
        <v>0</v>
      </c>
      <c r="J16" s="20" t="n">
        <f aca="false">IF($A16="","",SUMIFS(Movimentações!$I$6:$I$505,Movimentações!$C$6:$C$505,$A16,Movimentações!$B$6:$B$505,"Saída de sobra"))</f>
        <v>0</v>
      </c>
      <c r="K16" s="20" t="n">
        <f aca="false">IF($A16="","",I16-J16)</f>
        <v>0</v>
      </c>
      <c r="L16" s="21" t="str">
        <f aca="false">IF($A16="","",IF(COUNTIF($A$6:$A$45,$A16)&gt;1,"Código duplicado",IF($K16&lt;0,"Saldo de sobras negativo",IF($H16&lt;0,"Saldo lacrado negativo",IF($H16&lt;=$E16,"Repor","OK")))))</f>
        <v>Repor</v>
      </c>
    </row>
    <row r="17" customFormat="false" ht="15" hidden="false" customHeight="false" outlineLevel="0" collapsed="false">
      <c r="A17" s="18" t="s">
        <v>81</v>
      </c>
      <c r="B17" s="18" t="s">
        <v>39</v>
      </c>
      <c r="C17" s="18" t="s">
        <v>82</v>
      </c>
      <c r="D17" s="18" t="s">
        <v>40</v>
      </c>
      <c r="E17" s="18" t="n">
        <v>4</v>
      </c>
      <c r="F17" s="19" t="n">
        <f aca="false">IF($A17="","",SUMIFS(Movimentações!$I$6:$I$505,Movimentações!$C$6:$C$505,$A17,Movimentações!$B$6:$B$505,"Entrada"))</f>
        <v>8</v>
      </c>
      <c r="G17" s="19" t="n">
        <f aca="false">IF($A17="","",SUMIFS(Movimentações!$I$6:$I$505,Movimentações!$C$6:$C$505,$A17,Movimentações!$B$6:$B$505,"Saída"))</f>
        <v>3</v>
      </c>
      <c r="H17" s="19" t="n">
        <f aca="false">IF($A17="","",F17-G17)</f>
        <v>5</v>
      </c>
      <c r="I17" s="20" t="n">
        <f aca="false">IF($A17="","",SUMIFS(Movimentações!$I$6:$I$505,Movimentações!$C$6:$C$505,$A17,Movimentações!$B$6:$B$505,"Retorno de sobra"))</f>
        <v>0</v>
      </c>
      <c r="J17" s="20" t="n">
        <f aca="false">IF($A17="","",SUMIFS(Movimentações!$I$6:$I$505,Movimentações!$C$6:$C$505,$A17,Movimentações!$B$6:$B$505,"Saída de sobra"))</f>
        <v>0</v>
      </c>
      <c r="K17" s="20" t="n">
        <f aca="false">IF($A17="","",I17-J17)</f>
        <v>0</v>
      </c>
      <c r="L17" s="21" t="str">
        <f aca="false">IF($A17="","",IF(COUNTIF($A$6:$A$45,$A17)&gt;1,"Código duplicado",IF($K17&lt;0,"Saldo de sobras negativo",IF($H17&lt;0,"Saldo lacrado negativo",IF($H17&lt;=$E17,"Repor","OK")))))</f>
        <v>OK</v>
      </c>
    </row>
    <row r="18" customFormat="false" ht="15" hidden="false" customHeight="false" outlineLevel="0" collapsed="false">
      <c r="A18" s="18" t="s">
        <v>83</v>
      </c>
      <c r="B18" s="18" t="s">
        <v>39</v>
      </c>
      <c r="C18" s="18" t="s">
        <v>84</v>
      </c>
      <c r="D18" s="18" t="s">
        <v>40</v>
      </c>
      <c r="E18" s="18" t="n">
        <v>6</v>
      </c>
      <c r="F18" s="19" t="n">
        <f aca="false">IF($A18="","",SUMIFS(Movimentações!$I$6:$I$505,Movimentações!$C$6:$C$505,$A18,Movimentações!$B$6:$B$505,"Entrada"))</f>
        <v>20</v>
      </c>
      <c r="G18" s="19" t="n">
        <f aca="false">IF($A18="","",SUMIFS(Movimentações!$I$6:$I$505,Movimentações!$C$6:$C$505,$A18,Movimentações!$B$6:$B$505,"Saída"))</f>
        <v>12</v>
      </c>
      <c r="H18" s="19" t="n">
        <f aca="false">IF($A18="","",F18-G18)</f>
        <v>8</v>
      </c>
      <c r="I18" s="20" t="n">
        <f aca="false">IF($A18="","",SUMIFS(Movimentações!$I$6:$I$505,Movimentações!$C$6:$C$505,$A18,Movimentações!$B$6:$B$505,"Retorno de sobra"))</f>
        <v>0</v>
      </c>
      <c r="J18" s="20" t="n">
        <f aca="false">IF($A18="","",SUMIFS(Movimentações!$I$6:$I$505,Movimentações!$C$6:$C$505,$A18,Movimentações!$B$6:$B$505,"Saída de sobra"))</f>
        <v>0</v>
      </c>
      <c r="K18" s="20" t="n">
        <f aca="false">IF($A18="","",I18-J18)</f>
        <v>0</v>
      </c>
      <c r="L18" s="21" t="str">
        <f aca="false">IF($A18="","",IF(COUNTIF($A$6:$A$45,$A18)&gt;1,"Código duplicado",IF($K18&lt;0,"Saldo de sobras negativo",IF($H18&lt;0,"Saldo lacrado negativo",IF($H18&lt;=$E18,"Repor","OK")))))</f>
        <v>OK</v>
      </c>
    </row>
    <row r="19" customFormat="false" ht="15" hidden="false" customHeight="false" outlineLevel="0" collapsed="false">
      <c r="A19" s="18" t="s">
        <v>85</v>
      </c>
      <c r="B19" s="18" t="s">
        <v>35</v>
      </c>
      <c r="C19" s="18" t="s">
        <v>86</v>
      </c>
      <c r="D19" s="18" t="s">
        <v>40</v>
      </c>
      <c r="E19" s="18" t="n">
        <v>2</v>
      </c>
      <c r="F19" s="19" t="n">
        <f aca="false">IF($A19="","",SUMIFS(Movimentações!$I$6:$I$505,Movimentações!$C$6:$C$505,$A19,Movimentações!$B$6:$B$505,"Entrada"))</f>
        <v>6</v>
      </c>
      <c r="G19" s="19" t="n">
        <f aca="false">IF($A19="","",SUMIFS(Movimentações!$I$6:$I$505,Movimentações!$C$6:$C$505,$A19,Movimentações!$B$6:$B$505,"Saída"))</f>
        <v>2</v>
      </c>
      <c r="H19" s="19" t="n">
        <f aca="false">IF($A19="","",F19-G19)</f>
        <v>4</v>
      </c>
      <c r="I19" s="20" t="n">
        <f aca="false">IF($A19="","",SUMIFS(Movimentações!$I$6:$I$505,Movimentações!$C$6:$C$505,$A19,Movimentações!$B$6:$B$505,"Retorno de sobra"))</f>
        <v>0</v>
      </c>
      <c r="J19" s="20" t="n">
        <f aca="false">IF($A19="","",SUMIFS(Movimentações!$I$6:$I$505,Movimentações!$C$6:$C$505,$A19,Movimentações!$B$6:$B$505,"Saída de sobra"))</f>
        <v>0</v>
      </c>
      <c r="K19" s="20" t="n">
        <f aca="false">IF($A19="","",I19-J19)</f>
        <v>0</v>
      </c>
      <c r="L19" s="21" t="str">
        <f aca="false">IF($A19="","",IF(COUNTIF($A$6:$A$45,$A19)&gt;1,"Código duplicado",IF($K19&lt;0,"Saldo de sobras negativo",IF($H19&lt;0,"Saldo lacrado negativo",IF($H19&lt;=$E19,"Repor","OK")))))</f>
        <v>OK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9" t="str">
        <f aca="false">IF($A20="","",SUMIFS(Movimentações!$I$6:$I$505,Movimentações!$C$6:$C$505,$A20,Movimentações!$B$6:$B$505,"Entrada"))</f>
        <v/>
      </c>
      <c r="G20" s="19" t="str">
        <f aca="false">IF($A20="","",SUMIFS(Movimentações!$I$6:$I$505,Movimentações!$C$6:$C$505,$A20,Movimentações!$B$6:$B$505,"Saída"))</f>
        <v/>
      </c>
      <c r="H20" s="19" t="str">
        <f aca="false">IF($A20="","",F20-G20)</f>
        <v/>
      </c>
      <c r="I20" s="20" t="str">
        <f aca="false">IF($A20="","",SUMIFS(Movimentações!$I$6:$I$505,Movimentações!$C$6:$C$505,$A20,Movimentações!$B$6:$B$505,"Retorno de sobra"))</f>
        <v/>
      </c>
      <c r="J20" s="20" t="str">
        <f aca="false">IF($A20="","",SUMIFS(Movimentações!$I$6:$I$505,Movimentações!$C$6:$C$505,$A20,Movimentações!$B$6:$B$505,"Saída de sobra"))</f>
        <v/>
      </c>
      <c r="K20" s="20" t="str">
        <f aca="false">IF($A20="","",I20-J20)</f>
        <v/>
      </c>
      <c r="L20" s="21" t="str">
        <f aca="false">IF($A20="","",IF(COUNTIF($A$6:$A$45,$A20)&gt;1,"Código duplicado",IF($K20&lt;0,"Saldo de sobras negativo",IF($H20&lt;0,"Saldo lacrado negativo",IF($H20&lt;=$E20,"Repor","OK")))))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9" t="str">
        <f aca="false">IF($A21="","",SUMIFS(Movimentações!$I$6:$I$505,Movimentações!$C$6:$C$505,$A21,Movimentações!$B$6:$B$505,"Entrada"))</f>
        <v/>
      </c>
      <c r="G21" s="19" t="str">
        <f aca="false">IF($A21="","",SUMIFS(Movimentações!$I$6:$I$505,Movimentações!$C$6:$C$505,$A21,Movimentações!$B$6:$B$505,"Saída"))</f>
        <v/>
      </c>
      <c r="H21" s="19" t="str">
        <f aca="false">IF($A21="","",F21-G21)</f>
        <v/>
      </c>
      <c r="I21" s="20" t="str">
        <f aca="false">IF($A21="","",SUMIFS(Movimentações!$I$6:$I$505,Movimentações!$C$6:$C$505,$A21,Movimentações!$B$6:$B$505,"Retorno de sobra"))</f>
        <v/>
      </c>
      <c r="J21" s="20" t="str">
        <f aca="false">IF($A21="","",SUMIFS(Movimentações!$I$6:$I$505,Movimentações!$C$6:$C$505,$A21,Movimentações!$B$6:$B$505,"Saída de sobra"))</f>
        <v/>
      </c>
      <c r="K21" s="20" t="str">
        <f aca="false">IF($A21="","",I21-J21)</f>
        <v/>
      </c>
      <c r="L21" s="21" t="str">
        <f aca="false">IF($A21="","",IF(COUNTIF($A$6:$A$45,$A21)&gt;1,"Código duplicado",IF($K21&lt;0,"Saldo de sobras negativo",IF($H21&lt;0,"Saldo lacrado negativo",IF($H21&lt;=$E21,"Repor","OK")))))</f>
        <v/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9" t="str">
        <f aca="false">IF($A22="","",SUMIFS(Movimentações!$I$6:$I$505,Movimentações!$C$6:$C$505,$A22,Movimentações!$B$6:$B$505,"Entrada"))</f>
        <v/>
      </c>
      <c r="G22" s="19" t="str">
        <f aca="false">IF($A22="","",SUMIFS(Movimentações!$I$6:$I$505,Movimentações!$C$6:$C$505,$A22,Movimentações!$B$6:$B$505,"Saída"))</f>
        <v/>
      </c>
      <c r="H22" s="19" t="str">
        <f aca="false">IF($A22="","",F22-G22)</f>
        <v/>
      </c>
      <c r="I22" s="20" t="str">
        <f aca="false">IF($A22="","",SUMIFS(Movimentações!$I$6:$I$505,Movimentações!$C$6:$C$505,$A22,Movimentações!$B$6:$B$505,"Retorno de sobra"))</f>
        <v/>
      </c>
      <c r="J22" s="20" t="str">
        <f aca="false">IF($A22="","",SUMIFS(Movimentações!$I$6:$I$505,Movimentações!$C$6:$C$505,$A22,Movimentações!$B$6:$B$505,"Saída de sobra"))</f>
        <v/>
      </c>
      <c r="K22" s="20" t="str">
        <f aca="false">IF($A22="","",I22-J22)</f>
        <v/>
      </c>
      <c r="L22" s="21" t="str">
        <f aca="false">IF($A22="","",IF(COUNTIF($A$6:$A$45,$A22)&gt;1,"Código duplicado",IF($K22&lt;0,"Saldo de sobras negativo",IF($H22&lt;0,"Saldo lacrado negativo",IF($H22&lt;=$E22,"Repor","OK")))))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9" t="str">
        <f aca="false">IF($A23="","",SUMIFS(Movimentações!$I$6:$I$505,Movimentações!$C$6:$C$505,$A23,Movimentações!$B$6:$B$505,"Entrada"))</f>
        <v/>
      </c>
      <c r="G23" s="19" t="str">
        <f aca="false">IF($A23="","",SUMIFS(Movimentações!$I$6:$I$505,Movimentações!$C$6:$C$505,$A23,Movimentações!$B$6:$B$505,"Saída"))</f>
        <v/>
      </c>
      <c r="H23" s="19" t="str">
        <f aca="false">IF($A23="","",F23-G23)</f>
        <v/>
      </c>
      <c r="I23" s="20" t="str">
        <f aca="false">IF($A23="","",SUMIFS(Movimentações!$I$6:$I$505,Movimentações!$C$6:$C$505,$A23,Movimentações!$B$6:$B$505,"Retorno de sobra"))</f>
        <v/>
      </c>
      <c r="J23" s="20" t="str">
        <f aca="false">IF($A23="","",SUMIFS(Movimentações!$I$6:$I$505,Movimentações!$C$6:$C$505,$A23,Movimentações!$B$6:$B$505,"Saída de sobra"))</f>
        <v/>
      </c>
      <c r="K23" s="20" t="str">
        <f aca="false">IF($A23="","",I23-J23)</f>
        <v/>
      </c>
      <c r="L23" s="21" t="str">
        <f aca="false">IF($A23="","",IF(COUNTIF($A$6:$A$45,$A23)&gt;1,"Código duplicado",IF($K23&lt;0,"Saldo de sobras negativo",IF($H23&lt;0,"Saldo lacrado negativo",IF($H23&lt;=$E23,"Repor","OK")))))</f>
        <v/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9" t="str">
        <f aca="false">IF($A24="","",SUMIFS(Movimentações!$I$6:$I$505,Movimentações!$C$6:$C$505,$A24,Movimentações!$B$6:$B$505,"Entrada"))</f>
        <v/>
      </c>
      <c r="G24" s="19" t="str">
        <f aca="false">IF($A24="","",SUMIFS(Movimentações!$I$6:$I$505,Movimentações!$C$6:$C$505,$A24,Movimentações!$B$6:$B$505,"Saída"))</f>
        <v/>
      </c>
      <c r="H24" s="19" t="str">
        <f aca="false">IF($A24="","",F24-G24)</f>
        <v/>
      </c>
      <c r="I24" s="20" t="str">
        <f aca="false">IF($A24="","",SUMIFS(Movimentações!$I$6:$I$505,Movimentações!$C$6:$C$505,$A24,Movimentações!$B$6:$B$505,"Retorno de sobra"))</f>
        <v/>
      </c>
      <c r="J24" s="20" t="str">
        <f aca="false">IF($A24="","",SUMIFS(Movimentações!$I$6:$I$505,Movimentações!$C$6:$C$505,$A24,Movimentações!$B$6:$B$505,"Saída de sobra"))</f>
        <v/>
      </c>
      <c r="K24" s="20" t="str">
        <f aca="false">IF($A24="","",I24-J24)</f>
        <v/>
      </c>
      <c r="L24" s="21" t="str">
        <f aca="false">IF($A24="","",IF(COUNTIF($A$6:$A$45,$A24)&gt;1,"Código duplicado",IF($K24&lt;0,"Saldo de sobras negativo",IF($H24&lt;0,"Saldo lacrado negativo",IF($H24&lt;=$E24,"Repor","OK")))))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9" t="str">
        <f aca="false">IF($A25="","",SUMIFS(Movimentações!$I$6:$I$505,Movimentações!$C$6:$C$505,$A25,Movimentações!$B$6:$B$505,"Entrada"))</f>
        <v/>
      </c>
      <c r="G25" s="19" t="str">
        <f aca="false">IF($A25="","",SUMIFS(Movimentações!$I$6:$I$505,Movimentações!$C$6:$C$505,$A25,Movimentações!$B$6:$B$505,"Saída"))</f>
        <v/>
      </c>
      <c r="H25" s="19" t="str">
        <f aca="false">IF($A25="","",F25-G25)</f>
        <v/>
      </c>
      <c r="I25" s="20" t="str">
        <f aca="false">IF($A25="","",SUMIFS(Movimentações!$I$6:$I$505,Movimentações!$C$6:$C$505,$A25,Movimentações!$B$6:$B$505,"Retorno de sobra"))</f>
        <v/>
      </c>
      <c r="J25" s="20" t="str">
        <f aca="false">IF($A25="","",SUMIFS(Movimentações!$I$6:$I$505,Movimentações!$C$6:$C$505,$A25,Movimentações!$B$6:$B$505,"Saída de sobra"))</f>
        <v/>
      </c>
      <c r="K25" s="20" t="str">
        <f aca="false">IF($A25="","",I25-J25)</f>
        <v/>
      </c>
      <c r="L25" s="21" t="str">
        <f aca="false">IF($A25="","",IF(COUNTIF($A$6:$A$45,$A25)&gt;1,"Código duplicado",IF($K25&lt;0,"Saldo de sobras negativo",IF($H25&lt;0,"Saldo lacrado negativo",IF($H25&lt;=$E25,"Repor","OK")))))</f>
        <v/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9" t="str">
        <f aca="false">IF($A26="","",SUMIFS(Movimentações!$I$6:$I$505,Movimentações!$C$6:$C$505,$A26,Movimentações!$B$6:$B$505,"Entrada"))</f>
        <v/>
      </c>
      <c r="G26" s="19" t="str">
        <f aca="false">IF($A26="","",SUMIFS(Movimentações!$I$6:$I$505,Movimentações!$C$6:$C$505,$A26,Movimentações!$B$6:$B$505,"Saída"))</f>
        <v/>
      </c>
      <c r="H26" s="19" t="str">
        <f aca="false">IF($A26="","",F26-G26)</f>
        <v/>
      </c>
      <c r="I26" s="20" t="str">
        <f aca="false">IF($A26="","",SUMIFS(Movimentações!$I$6:$I$505,Movimentações!$C$6:$C$505,$A26,Movimentações!$B$6:$B$505,"Retorno de sobra"))</f>
        <v/>
      </c>
      <c r="J26" s="20" t="str">
        <f aca="false">IF($A26="","",SUMIFS(Movimentações!$I$6:$I$505,Movimentações!$C$6:$C$505,$A26,Movimentações!$B$6:$B$505,"Saída de sobra"))</f>
        <v/>
      </c>
      <c r="K26" s="20" t="str">
        <f aca="false">IF($A26="","",I26-J26)</f>
        <v/>
      </c>
      <c r="L26" s="21" t="str">
        <f aca="false">IF($A26="","",IF(COUNTIF($A$6:$A$45,$A26)&gt;1,"Código duplicado",IF($K26&lt;0,"Saldo de sobras negativo",IF($H26&lt;0,"Saldo lacrado negativo",IF($H26&lt;=$E26,"Repor","OK")))))</f>
        <v/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9" t="str">
        <f aca="false">IF($A27="","",SUMIFS(Movimentações!$I$6:$I$505,Movimentações!$C$6:$C$505,$A27,Movimentações!$B$6:$B$505,"Entrada"))</f>
        <v/>
      </c>
      <c r="G27" s="19" t="str">
        <f aca="false">IF($A27="","",SUMIFS(Movimentações!$I$6:$I$505,Movimentações!$C$6:$C$505,$A27,Movimentações!$B$6:$B$505,"Saída"))</f>
        <v/>
      </c>
      <c r="H27" s="19" t="str">
        <f aca="false">IF($A27="","",F27-G27)</f>
        <v/>
      </c>
      <c r="I27" s="20" t="str">
        <f aca="false">IF($A27="","",SUMIFS(Movimentações!$I$6:$I$505,Movimentações!$C$6:$C$505,$A27,Movimentações!$B$6:$B$505,"Retorno de sobra"))</f>
        <v/>
      </c>
      <c r="J27" s="20" t="str">
        <f aca="false">IF($A27="","",SUMIFS(Movimentações!$I$6:$I$505,Movimentações!$C$6:$C$505,$A27,Movimentações!$B$6:$B$505,"Saída de sobra"))</f>
        <v/>
      </c>
      <c r="K27" s="20" t="str">
        <f aca="false">IF($A27="","",I27-J27)</f>
        <v/>
      </c>
      <c r="L27" s="21" t="str">
        <f aca="false">IF($A27="","",IF(COUNTIF($A$6:$A$45,$A27)&gt;1,"Código duplicado",IF($K27&lt;0,"Saldo de sobras negativo",IF($H27&lt;0,"Saldo lacrado negativo",IF($H27&lt;=$E27,"Repor","OK")))))</f>
        <v/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9" t="str">
        <f aca="false">IF($A28="","",SUMIFS(Movimentações!$I$6:$I$505,Movimentações!$C$6:$C$505,$A28,Movimentações!$B$6:$B$505,"Entrada"))</f>
        <v/>
      </c>
      <c r="G28" s="19" t="str">
        <f aca="false">IF($A28="","",SUMIFS(Movimentações!$I$6:$I$505,Movimentações!$C$6:$C$505,$A28,Movimentações!$B$6:$B$505,"Saída"))</f>
        <v/>
      </c>
      <c r="H28" s="19" t="str">
        <f aca="false">IF($A28="","",F28-G28)</f>
        <v/>
      </c>
      <c r="I28" s="20" t="str">
        <f aca="false">IF($A28="","",SUMIFS(Movimentações!$I$6:$I$505,Movimentações!$C$6:$C$505,$A28,Movimentações!$B$6:$B$505,"Retorno de sobra"))</f>
        <v/>
      </c>
      <c r="J28" s="20" t="str">
        <f aca="false">IF($A28="","",SUMIFS(Movimentações!$I$6:$I$505,Movimentações!$C$6:$C$505,$A28,Movimentações!$B$6:$B$505,"Saída de sobra"))</f>
        <v/>
      </c>
      <c r="K28" s="20" t="str">
        <f aca="false">IF($A28="","",I28-J28)</f>
        <v/>
      </c>
      <c r="L28" s="21" t="str">
        <f aca="false">IF($A28="","",IF(COUNTIF($A$6:$A$45,$A28)&gt;1,"Código duplicado",IF($K28&lt;0,"Saldo de sobras negativo",IF($H28&lt;0,"Saldo lacrado negativo",IF($H28&lt;=$E28,"Repor","OK")))))</f>
        <v/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9" t="str">
        <f aca="false">IF($A29="","",SUMIFS(Movimentações!$I$6:$I$505,Movimentações!$C$6:$C$505,$A29,Movimentações!$B$6:$B$505,"Entrada"))</f>
        <v/>
      </c>
      <c r="G29" s="19" t="str">
        <f aca="false">IF($A29="","",SUMIFS(Movimentações!$I$6:$I$505,Movimentações!$C$6:$C$505,$A29,Movimentações!$B$6:$B$505,"Saída"))</f>
        <v/>
      </c>
      <c r="H29" s="19" t="str">
        <f aca="false">IF($A29="","",F29-G29)</f>
        <v/>
      </c>
      <c r="I29" s="20" t="str">
        <f aca="false">IF($A29="","",SUMIFS(Movimentações!$I$6:$I$505,Movimentações!$C$6:$C$505,$A29,Movimentações!$B$6:$B$505,"Retorno de sobra"))</f>
        <v/>
      </c>
      <c r="J29" s="20" t="str">
        <f aca="false">IF($A29="","",SUMIFS(Movimentações!$I$6:$I$505,Movimentações!$C$6:$C$505,$A29,Movimentações!$B$6:$B$505,"Saída de sobra"))</f>
        <v/>
      </c>
      <c r="K29" s="20" t="str">
        <f aca="false">IF($A29="","",I29-J29)</f>
        <v/>
      </c>
      <c r="L29" s="21" t="str">
        <f aca="false">IF($A29="","",IF(COUNTIF($A$6:$A$45,$A29)&gt;1,"Código duplicado",IF($K29&lt;0,"Saldo de sobras negativo",IF($H29&lt;0,"Saldo lacrado negativo",IF($H29&lt;=$E29,"Repor","OK")))))</f>
        <v/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9" t="str">
        <f aca="false">IF($A30="","",SUMIFS(Movimentações!$I$6:$I$505,Movimentações!$C$6:$C$505,$A30,Movimentações!$B$6:$B$505,"Entrada"))</f>
        <v/>
      </c>
      <c r="G30" s="19" t="str">
        <f aca="false">IF($A30="","",SUMIFS(Movimentações!$I$6:$I$505,Movimentações!$C$6:$C$505,$A30,Movimentações!$B$6:$B$505,"Saída"))</f>
        <v/>
      </c>
      <c r="H30" s="19" t="str">
        <f aca="false">IF($A30="","",F30-G30)</f>
        <v/>
      </c>
      <c r="I30" s="20" t="str">
        <f aca="false">IF($A30="","",SUMIFS(Movimentações!$I$6:$I$505,Movimentações!$C$6:$C$505,$A30,Movimentações!$B$6:$B$505,"Retorno de sobra"))</f>
        <v/>
      </c>
      <c r="J30" s="20" t="str">
        <f aca="false">IF($A30="","",SUMIFS(Movimentações!$I$6:$I$505,Movimentações!$C$6:$C$505,$A30,Movimentações!$B$6:$B$505,"Saída de sobra"))</f>
        <v/>
      </c>
      <c r="K30" s="20" t="str">
        <f aca="false">IF($A30="","",I30-J30)</f>
        <v/>
      </c>
      <c r="L30" s="21" t="str">
        <f aca="false">IF($A30="","",IF(COUNTIF($A$6:$A$45,$A30)&gt;1,"Código duplicado",IF($K30&lt;0,"Saldo de sobras negativo",IF($H30&lt;0,"Saldo lacrado negativo",IF($H30&lt;=$E30,"Repor","OK")))))</f>
        <v/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9" t="str">
        <f aca="false">IF($A31="","",SUMIFS(Movimentações!$I$6:$I$505,Movimentações!$C$6:$C$505,$A31,Movimentações!$B$6:$B$505,"Entrada"))</f>
        <v/>
      </c>
      <c r="G31" s="19" t="str">
        <f aca="false">IF($A31="","",SUMIFS(Movimentações!$I$6:$I$505,Movimentações!$C$6:$C$505,$A31,Movimentações!$B$6:$B$505,"Saída"))</f>
        <v/>
      </c>
      <c r="H31" s="19" t="str">
        <f aca="false">IF($A31="","",F31-G31)</f>
        <v/>
      </c>
      <c r="I31" s="20" t="str">
        <f aca="false">IF($A31="","",SUMIFS(Movimentações!$I$6:$I$505,Movimentações!$C$6:$C$505,$A31,Movimentações!$B$6:$B$505,"Retorno de sobra"))</f>
        <v/>
      </c>
      <c r="J31" s="20" t="str">
        <f aca="false">IF($A31="","",SUMIFS(Movimentações!$I$6:$I$505,Movimentações!$C$6:$C$505,$A31,Movimentações!$B$6:$B$505,"Saída de sobra"))</f>
        <v/>
      </c>
      <c r="K31" s="20" t="str">
        <f aca="false">IF($A31="","",I31-J31)</f>
        <v/>
      </c>
      <c r="L31" s="21" t="str">
        <f aca="false">IF($A31="","",IF(COUNTIF($A$6:$A$45,$A31)&gt;1,"Código duplicado",IF($K31&lt;0,"Saldo de sobras negativo",IF($H31&lt;0,"Saldo lacrado negativo",IF($H31&lt;=$E31,"Repor","OK")))))</f>
        <v/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9" t="str">
        <f aca="false">IF($A32="","",SUMIFS(Movimentações!$I$6:$I$505,Movimentações!$C$6:$C$505,$A32,Movimentações!$B$6:$B$505,"Entrada"))</f>
        <v/>
      </c>
      <c r="G32" s="19" t="str">
        <f aca="false">IF($A32="","",SUMIFS(Movimentações!$I$6:$I$505,Movimentações!$C$6:$C$505,$A32,Movimentações!$B$6:$B$505,"Saída"))</f>
        <v/>
      </c>
      <c r="H32" s="19" t="str">
        <f aca="false">IF($A32="","",F32-G32)</f>
        <v/>
      </c>
      <c r="I32" s="20" t="str">
        <f aca="false">IF($A32="","",SUMIFS(Movimentações!$I$6:$I$505,Movimentações!$C$6:$C$505,$A32,Movimentações!$B$6:$B$505,"Retorno de sobra"))</f>
        <v/>
      </c>
      <c r="J32" s="20" t="str">
        <f aca="false">IF($A32="","",SUMIFS(Movimentações!$I$6:$I$505,Movimentações!$C$6:$C$505,$A32,Movimentações!$B$6:$B$505,"Saída de sobra"))</f>
        <v/>
      </c>
      <c r="K32" s="20" t="str">
        <f aca="false">IF($A32="","",I32-J32)</f>
        <v/>
      </c>
      <c r="L32" s="21" t="str">
        <f aca="false">IF($A32="","",IF(COUNTIF($A$6:$A$45,$A32)&gt;1,"Código duplicado",IF($K32&lt;0,"Saldo de sobras negativo",IF($H32&lt;0,"Saldo lacrado negativo",IF($H32&lt;=$E32,"Repor","OK")))))</f>
        <v/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9" t="str">
        <f aca="false">IF($A33="","",SUMIFS(Movimentações!$I$6:$I$505,Movimentações!$C$6:$C$505,$A33,Movimentações!$B$6:$B$505,"Entrada"))</f>
        <v/>
      </c>
      <c r="G33" s="19" t="str">
        <f aca="false">IF($A33="","",SUMIFS(Movimentações!$I$6:$I$505,Movimentações!$C$6:$C$505,$A33,Movimentações!$B$6:$B$505,"Saída"))</f>
        <v/>
      </c>
      <c r="H33" s="19" t="str">
        <f aca="false">IF($A33="","",F33-G33)</f>
        <v/>
      </c>
      <c r="I33" s="20" t="str">
        <f aca="false">IF($A33="","",SUMIFS(Movimentações!$I$6:$I$505,Movimentações!$C$6:$C$505,$A33,Movimentações!$B$6:$B$505,"Retorno de sobra"))</f>
        <v/>
      </c>
      <c r="J33" s="20" t="str">
        <f aca="false">IF($A33="","",SUMIFS(Movimentações!$I$6:$I$505,Movimentações!$C$6:$C$505,$A33,Movimentações!$B$6:$B$505,"Saída de sobra"))</f>
        <v/>
      </c>
      <c r="K33" s="20" t="str">
        <f aca="false">IF($A33="","",I33-J33)</f>
        <v/>
      </c>
      <c r="L33" s="21" t="str">
        <f aca="false">IF($A33="","",IF(COUNTIF($A$6:$A$45,$A33)&gt;1,"Código duplicado",IF($K33&lt;0,"Saldo de sobras negativo",IF($H33&lt;0,"Saldo lacrado negativo",IF($H33&lt;=$E33,"Repor","OK")))))</f>
        <v/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9" t="str">
        <f aca="false">IF($A34="","",SUMIFS(Movimentações!$I$6:$I$505,Movimentações!$C$6:$C$505,$A34,Movimentações!$B$6:$B$505,"Entrada"))</f>
        <v/>
      </c>
      <c r="G34" s="19" t="str">
        <f aca="false">IF($A34="","",SUMIFS(Movimentações!$I$6:$I$505,Movimentações!$C$6:$C$505,$A34,Movimentações!$B$6:$B$505,"Saída"))</f>
        <v/>
      </c>
      <c r="H34" s="19" t="str">
        <f aca="false">IF($A34="","",F34-G34)</f>
        <v/>
      </c>
      <c r="I34" s="20" t="str">
        <f aca="false">IF($A34="","",SUMIFS(Movimentações!$I$6:$I$505,Movimentações!$C$6:$C$505,$A34,Movimentações!$B$6:$B$505,"Retorno de sobra"))</f>
        <v/>
      </c>
      <c r="J34" s="20" t="str">
        <f aca="false">IF($A34="","",SUMIFS(Movimentações!$I$6:$I$505,Movimentações!$C$6:$C$505,$A34,Movimentações!$B$6:$B$505,"Saída de sobra"))</f>
        <v/>
      </c>
      <c r="K34" s="20" t="str">
        <f aca="false">IF($A34="","",I34-J34)</f>
        <v/>
      </c>
      <c r="L34" s="21" t="str">
        <f aca="false">IF($A34="","",IF(COUNTIF($A$6:$A$45,$A34)&gt;1,"Código duplicado",IF($K34&lt;0,"Saldo de sobras negativo",IF($H34&lt;0,"Saldo lacrado negativo",IF($H34&lt;=$E34,"Repor","OK")))))</f>
        <v/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9" t="str">
        <f aca="false">IF($A35="","",SUMIFS(Movimentações!$I$6:$I$505,Movimentações!$C$6:$C$505,$A35,Movimentações!$B$6:$B$505,"Entrada"))</f>
        <v/>
      </c>
      <c r="G35" s="19" t="str">
        <f aca="false">IF($A35="","",SUMIFS(Movimentações!$I$6:$I$505,Movimentações!$C$6:$C$505,$A35,Movimentações!$B$6:$B$505,"Saída"))</f>
        <v/>
      </c>
      <c r="H35" s="19" t="str">
        <f aca="false">IF($A35="","",F35-G35)</f>
        <v/>
      </c>
      <c r="I35" s="20" t="str">
        <f aca="false">IF($A35="","",SUMIFS(Movimentações!$I$6:$I$505,Movimentações!$C$6:$C$505,$A35,Movimentações!$B$6:$B$505,"Retorno de sobra"))</f>
        <v/>
      </c>
      <c r="J35" s="20" t="str">
        <f aca="false">IF($A35="","",SUMIFS(Movimentações!$I$6:$I$505,Movimentações!$C$6:$C$505,$A35,Movimentações!$B$6:$B$505,"Saída de sobra"))</f>
        <v/>
      </c>
      <c r="K35" s="20" t="str">
        <f aca="false">IF($A35="","",I35-J35)</f>
        <v/>
      </c>
      <c r="L35" s="21" t="str">
        <f aca="false">IF($A35="","",IF(COUNTIF($A$6:$A$45,$A35)&gt;1,"Código duplicado",IF($K35&lt;0,"Saldo de sobras negativo",IF($H35&lt;0,"Saldo lacrado negativo",IF($H35&lt;=$E35,"Repor","OK")))))</f>
        <v/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9" t="str">
        <f aca="false">IF($A36="","",SUMIFS(Movimentações!$I$6:$I$505,Movimentações!$C$6:$C$505,$A36,Movimentações!$B$6:$B$505,"Entrada"))</f>
        <v/>
      </c>
      <c r="G36" s="19" t="str">
        <f aca="false">IF($A36="","",SUMIFS(Movimentações!$I$6:$I$505,Movimentações!$C$6:$C$505,$A36,Movimentações!$B$6:$B$505,"Saída"))</f>
        <v/>
      </c>
      <c r="H36" s="19" t="str">
        <f aca="false">IF($A36="","",F36-G36)</f>
        <v/>
      </c>
      <c r="I36" s="20" t="str">
        <f aca="false">IF($A36="","",SUMIFS(Movimentações!$I$6:$I$505,Movimentações!$C$6:$C$505,$A36,Movimentações!$B$6:$B$505,"Retorno de sobra"))</f>
        <v/>
      </c>
      <c r="J36" s="20" t="str">
        <f aca="false">IF($A36="","",SUMIFS(Movimentações!$I$6:$I$505,Movimentações!$C$6:$C$505,$A36,Movimentações!$B$6:$B$505,"Saída de sobra"))</f>
        <v/>
      </c>
      <c r="K36" s="20" t="str">
        <f aca="false">IF($A36="","",I36-J36)</f>
        <v/>
      </c>
      <c r="L36" s="21" t="str">
        <f aca="false">IF($A36="","",IF(COUNTIF($A$6:$A$45,$A36)&gt;1,"Código duplicado",IF($K36&lt;0,"Saldo de sobras negativo",IF($H36&lt;0,"Saldo lacrado negativo",IF($H36&lt;=$E36,"Repor","OK")))))</f>
        <v/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9" t="str">
        <f aca="false">IF($A37="","",SUMIFS(Movimentações!$I$6:$I$505,Movimentações!$C$6:$C$505,$A37,Movimentações!$B$6:$B$505,"Entrada"))</f>
        <v/>
      </c>
      <c r="G37" s="19" t="str">
        <f aca="false">IF($A37="","",SUMIFS(Movimentações!$I$6:$I$505,Movimentações!$C$6:$C$505,$A37,Movimentações!$B$6:$B$505,"Saída"))</f>
        <v/>
      </c>
      <c r="H37" s="19" t="str">
        <f aca="false">IF($A37="","",F37-G37)</f>
        <v/>
      </c>
      <c r="I37" s="20" t="str">
        <f aca="false">IF($A37="","",SUMIFS(Movimentações!$I$6:$I$505,Movimentações!$C$6:$C$505,$A37,Movimentações!$B$6:$B$505,"Retorno de sobra"))</f>
        <v/>
      </c>
      <c r="J37" s="20" t="str">
        <f aca="false">IF($A37="","",SUMIFS(Movimentações!$I$6:$I$505,Movimentações!$C$6:$C$505,$A37,Movimentações!$B$6:$B$505,"Saída de sobra"))</f>
        <v/>
      </c>
      <c r="K37" s="20" t="str">
        <f aca="false">IF($A37="","",I37-J37)</f>
        <v/>
      </c>
      <c r="L37" s="21" t="str">
        <f aca="false">IF($A37="","",IF(COUNTIF($A$6:$A$45,$A37)&gt;1,"Código duplicado",IF($K37&lt;0,"Saldo de sobras negativo",IF($H37&lt;0,"Saldo lacrado negativo",IF($H37&lt;=$E37,"Repor","OK")))))</f>
        <v/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9" t="str">
        <f aca="false">IF($A38="","",SUMIFS(Movimentações!$I$6:$I$505,Movimentações!$C$6:$C$505,$A38,Movimentações!$B$6:$B$505,"Entrada"))</f>
        <v/>
      </c>
      <c r="G38" s="19" t="str">
        <f aca="false">IF($A38="","",SUMIFS(Movimentações!$I$6:$I$505,Movimentações!$C$6:$C$505,$A38,Movimentações!$B$6:$B$505,"Saída"))</f>
        <v/>
      </c>
      <c r="H38" s="19" t="str">
        <f aca="false">IF($A38="","",F38-G38)</f>
        <v/>
      </c>
      <c r="I38" s="20" t="str">
        <f aca="false">IF($A38="","",SUMIFS(Movimentações!$I$6:$I$505,Movimentações!$C$6:$C$505,$A38,Movimentações!$B$6:$B$505,"Retorno de sobra"))</f>
        <v/>
      </c>
      <c r="J38" s="20" t="str">
        <f aca="false">IF($A38="","",SUMIFS(Movimentações!$I$6:$I$505,Movimentações!$C$6:$C$505,$A38,Movimentações!$B$6:$B$505,"Saída de sobra"))</f>
        <v/>
      </c>
      <c r="K38" s="20" t="str">
        <f aca="false">IF($A38="","",I38-J38)</f>
        <v/>
      </c>
      <c r="L38" s="21" t="str">
        <f aca="false">IF($A38="","",IF(COUNTIF($A$6:$A$45,$A38)&gt;1,"Código duplicado",IF($K38&lt;0,"Saldo de sobras negativo",IF($H38&lt;0,"Saldo lacrado negativo",IF($H38&lt;=$E38,"Repor","OK")))))</f>
        <v/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9" t="str">
        <f aca="false">IF($A39="","",SUMIFS(Movimentações!$I$6:$I$505,Movimentações!$C$6:$C$505,$A39,Movimentações!$B$6:$B$505,"Entrada"))</f>
        <v/>
      </c>
      <c r="G39" s="19" t="str">
        <f aca="false">IF($A39="","",SUMIFS(Movimentações!$I$6:$I$505,Movimentações!$C$6:$C$505,$A39,Movimentações!$B$6:$B$505,"Saída"))</f>
        <v/>
      </c>
      <c r="H39" s="19" t="str">
        <f aca="false">IF($A39="","",F39-G39)</f>
        <v/>
      </c>
      <c r="I39" s="20" t="str">
        <f aca="false">IF($A39="","",SUMIFS(Movimentações!$I$6:$I$505,Movimentações!$C$6:$C$505,$A39,Movimentações!$B$6:$B$505,"Retorno de sobra"))</f>
        <v/>
      </c>
      <c r="J39" s="20" t="str">
        <f aca="false">IF($A39="","",SUMIFS(Movimentações!$I$6:$I$505,Movimentações!$C$6:$C$505,$A39,Movimentações!$B$6:$B$505,"Saída de sobra"))</f>
        <v/>
      </c>
      <c r="K39" s="20" t="str">
        <f aca="false">IF($A39="","",I39-J39)</f>
        <v/>
      </c>
      <c r="L39" s="21" t="str">
        <f aca="false">IF($A39="","",IF(COUNTIF($A$6:$A$45,$A39)&gt;1,"Código duplicado",IF($K39&lt;0,"Saldo de sobras negativo",IF($H39&lt;0,"Saldo lacrado negativo",IF($H39&lt;=$E39,"Repor","OK")))))</f>
        <v/>
      </c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9" t="str">
        <f aca="false">IF($A40="","",SUMIFS(Movimentações!$I$6:$I$505,Movimentações!$C$6:$C$505,$A40,Movimentações!$B$6:$B$505,"Entrada"))</f>
        <v/>
      </c>
      <c r="G40" s="19" t="str">
        <f aca="false">IF($A40="","",SUMIFS(Movimentações!$I$6:$I$505,Movimentações!$C$6:$C$505,$A40,Movimentações!$B$6:$B$505,"Saída"))</f>
        <v/>
      </c>
      <c r="H40" s="19" t="str">
        <f aca="false">IF($A40="","",F40-G40)</f>
        <v/>
      </c>
      <c r="I40" s="20" t="str">
        <f aca="false">IF($A40="","",SUMIFS(Movimentações!$I$6:$I$505,Movimentações!$C$6:$C$505,$A40,Movimentações!$B$6:$B$505,"Retorno de sobra"))</f>
        <v/>
      </c>
      <c r="J40" s="20" t="str">
        <f aca="false">IF($A40="","",SUMIFS(Movimentações!$I$6:$I$505,Movimentações!$C$6:$C$505,$A40,Movimentações!$B$6:$B$505,"Saída de sobra"))</f>
        <v/>
      </c>
      <c r="K40" s="20" t="str">
        <f aca="false">IF($A40="","",I40-J40)</f>
        <v/>
      </c>
      <c r="L40" s="21" t="str">
        <f aca="false">IF($A40="","",IF(COUNTIF($A$6:$A$45,$A40)&gt;1,"Código duplicado",IF($K40&lt;0,"Saldo de sobras negativo",IF($H40&lt;0,"Saldo lacrado negativo",IF($H40&lt;=$E40,"Repor","OK")))))</f>
        <v/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9" t="str">
        <f aca="false">IF($A41="","",SUMIFS(Movimentações!$I$6:$I$505,Movimentações!$C$6:$C$505,$A41,Movimentações!$B$6:$B$505,"Entrada"))</f>
        <v/>
      </c>
      <c r="G41" s="19" t="str">
        <f aca="false">IF($A41="","",SUMIFS(Movimentações!$I$6:$I$505,Movimentações!$C$6:$C$505,$A41,Movimentações!$B$6:$B$505,"Saída"))</f>
        <v/>
      </c>
      <c r="H41" s="19" t="str">
        <f aca="false">IF($A41="","",F41-G41)</f>
        <v/>
      </c>
      <c r="I41" s="20" t="str">
        <f aca="false">IF($A41="","",SUMIFS(Movimentações!$I$6:$I$505,Movimentações!$C$6:$C$505,$A41,Movimentações!$B$6:$B$505,"Retorno de sobra"))</f>
        <v/>
      </c>
      <c r="J41" s="20" t="str">
        <f aca="false">IF($A41="","",SUMIFS(Movimentações!$I$6:$I$505,Movimentações!$C$6:$C$505,$A41,Movimentações!$B$6:$B$505,"Saída de sobra"))</f>
        <v/>
      </c>
      <c r="K41" s="20" t="str">
        <f aca="false">IF($A41="","",I41-J41)</f>
        <v/>
      </c>
      <c r="L41" s="21" t="str">
        <f aca="false">IF($A41="","",IF(COUNTIF($A$6:$A$45,$A41)&gt;1,"Código duplicado",IF($K41&lt;0,"Saldo de sobras negativo",IF($H41&lt;0,"Saldo lacrado negativo",IF($H41&lt;=$E41,"Repor","OK")))))</f>
        <v/>
      </c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9" t="str">
        <f aca="false">IF($A42="","",SUMIFS(Movimentações!$I$6:$I$505,Movimentações!$C$6:$C$505,$A42,Movimentações!$B$6:$B$505,"Entrada"))</f>
        <v/>
      </c>
      <c r="G42" s="19" t="str">
        <f aca="false">IF($A42="","",SUMIFS(Movimentações!$I$6:$I$505,Movimentações!$C$6:$C$505,$A42,Movimentações!$B$6:$B$505,"Saída"))</f>
        <v/>
      </c>
      <c r="H42" s="19" t="str">
        <f aca="false">IF($A42="","",F42-G42)</f>
        <v/>
      </c>
      <c r="I42" s="20" t="str">
        <f aca="false">IF($A42="","",SUMIFS(Movimentações!$I$6:$I$505,Movimentações!$C$6:$C$505,$A42,Movimentações!$B$6:$B$505,"Retorno de sobra"))</f>
        <v/>
      </c>
      <c r="J42" s="20" t="str">
        <f aca="false">IF($A42="","",SUMIFS(Movimentações!$I$6:$I$505,Movimentações!$C$6:$C$505,$A42,Movimentações!$B$6:$B$505,"Saída de sobra"))</f>
        <v/>
      </c>
      <c r="K42" s="20" t="str">
        <f aca="false">IF($A42="","",I42-J42)</f>
        <v/>
      </c>
      <c r="L42" s="21" t="str">
        <f aca="false">IF($A42="","",IF(COUNTIF($A$6:$A$45,$A42)&gt;1,"Código duplicado",IF($K42&lt;0,"Saldo de sobras negativo",IF($H42&lt;0,"Saldo lacrado negativo",IF($H42&lt;=$E42,"Repor","OK")))))</f>
        <v/>
      </c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9" t="str">
        <f aca="false">IF($A43="","",SUMIFS(Movimentações!$I$6:$I$505,Movimentações!$C$6:$C$505,$A43,Movimentações!$B$6:$B$505,"Entrada"))</f>
        <v/>
      </c>
      <c r="G43" s="19" t="str">
        <f aca="false">IF($A43="","",SUMIFS(Movimentações!$I$6:$I$505,Movimentações!$C$6:$C$505,$A43,Movimentações!$B$6:$B$505,"Saída"))</f>
        <v/>
      </c>
      <c r="H43" s="19" t="str">
        <f aca="false">IF($A43="","",F43-G43)</f>
        <v/>
      </c>
      <c r="I43" s="20" t="str">
        <f aca="false">IF($A43="","",SUMIFS(Movimentações!$I$6:$I$505,Movimentações!$C$6:$C$505,$A43,Movimentações!$B$6:$B$505,"Retorno de sobra"))</f>
        <v/>
      </c>
      <c r="J43" s="20" t="str">
        <f aca="false">IF($A43="","",SUMIFS(Movimentações!$I$6:$I$505,Movimentações!$C$6:$C$505,$A43,Movimentações!$B$6:$B$505,"Saída de sobra"))</f>
        <v/>
      </c>
      <c r="K43" s="20" t="str">
        <f aca="false">IF($A43="","",I43-J43)</f>
        <v/>
      </c>
      <c r="L43" s="21" t="str">
        <f aca="false">IF($A43="","",IF(COUNTIF($A$6:$A$45,$A43)&gt;1,"Código duplicado",IF($K43&lt;0,"Saldo de sobras negativo",IF($H43&lt;0,"Saldo lacrado negativo",IF($H43&lt;=$E43,"Repor","OK")))))</f>
        <v/>
      </c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9" t="str">
        <f aca="false">IF($A44="","",SUMIFS(Movimentações!$I$6:$I$505,Movimentações!$C$6:$C$505,$A44,Movimentações!$B$6:$B$505,"Entrada"))</f>
        <v/>
      </c>
      <c r="G44" s="19" t="str">
        <f aca="false">IF($A44="","",SUMIFS(Movimentações!$I$6:$I$505,Movimentações!$C$6:$C$505,$A44,Movimentações!$B$6:$B$505,"Saída"))</f>
        <v/>
      </c>
      <c r="H44" s="19" t="str">
        <f aca="false">IF($A44="","",F44-G44)</f>
        <v/>
      </c>
      <c r="I44" s="20" t="str">
        <f aca="false">IF($A44="","",SUMIFS(Movimentações!$I$6:$I$505,Movimentações!$C$6:$C$505,$A44,Movimentações!$B$6:$B$505,"Retorno de sobra"))</f>
        <v/>
      </c>
      <c r="J44" s="20" t="str">
        <f aca="false">IF($A44="","",SUMIFS(Movimentações!$I$6:$I$505,Movimentações!$C$6:$C$505,$A44,Movimentações!$B$6:$B$505,"Saída de sobra"))</f>
        <v/>
      </c>
      <c r="K44" s="20" t="str">
        <f aca="false">IF($A44="","",I44-J44)</f>
        <v/>
      </c>
      <c r="L44" s="21" t="str">
        <f aca="false">IF($A44="","",IF(COUNTIF($A$6:$A$45,$A44)&gt;1,"Código duplicado",IF($K44&lt;0,"Saldo de sobras negativo",IF($H44&lt;0,"Saldo lacrado negativo",IF($H44&lt;=$E44,"Repor","OK")))))</f>
        <v/>
      </c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9" t="str">
        <f aca="false">IF($A45="","",SUMIFS(Movimentações!$I$6:$I$505,Movimentações!$C$6:$C$505,$A45,Movimentações!$B$6:$B$505,"Entrada"))</f>
        <v/>
      </c>
      <c r="G45" s="19" t="str">
        <f aca="false">IF($A45="","",SUMIFS(Movimentações!$I$6:$I$505,Movimentações!$C$6:$C$505,$A45,Movimentações!$B$6:$B$505,"Saída"))</f>
        <v/>
      </c>
      <c r="H45" s="19" t="str">
        <f aca="false">IF($A45="","",F45-G45)</f>
        <v/>
      </c>
      <c r="I45" s="20" t="str">
        <f aca="false">IF($A45="","",SUMIFS(Movimentações!$I$6:$I$505,Movimentações!$C$6:$C$505,$A45,Movimentações!$B$6:$B$505,"Retorno de sobra"))</f>
        <v/>
      </c>
      <c r="J45" s="20" t="str">
        <f aca="false">IF($A45="","",SUMIFS(Movimentações!$I$6:$I$505,Movimentações!$C$6:$C$505,$A45,Movimentações!$B$6:$B$505,"Saída de sobra"))</f>
        <v/>
      </c>
      <c r="K45" s="20" t="str">
        <f aca="false">IF($A45="","",I45-J45)</f>
        <v/>
      </c>
      <c r="L45" s="21" t="str">
        <f aca="false">IF($A45="","",IF(COUNTIF($A$6:$A$45,$A45)&gt;1,"Código duplicado",IF($K45&lt;0,"Saldo de sobras negativo",IF($H45&lt;0,"Saldo lacrado negativo",IF($H45&lt;=$E45,"Repor","OK")))))</f>
        <v/>
      </c>
    </row>
  </sheetData>
  <conditionalFormatting sqref="L6:L45">
    <cfRule type="expression" priority="2" aboveAverage="0" equalAverage="0" bottom="0" percent="0" rank="0" text="" dxfId="0">
      <formula>OR(L6="Código duplicado",L6="Saldo de sobras negativo",L6="Saldo lacrado negativo")</formula>
    </cfRule>
    <cfRule type="expression" priority="3" aboveAverage="0" equalAverage="0" bottom="0" percent="0" rank="0" text="" dxfId="1">
      <formula>L6="Repor"</formula>
    </cfRule>
    <cfRule type="expression" priority="4" aboveAverage="0" equalAverage="0" bottom="0" percent="0" rank="0" text="" dxfId="2">
      <formula>L6="OK"</formula>
    </cfRule>
  </conditionalFormatting>
  <dataValidations count="3">
    <dataValidation allowBlank="false" error="Este código já existe. Cada código identifica um único produto." errorStyle="stop" errorTitle="Código repetido" operator="between" showDropDown="false" showErrorMessage="true" showInputMessage="false" sqref="A6:A45" type="custom">
      <formula1>COUNTIF($A$6:$A$45,A6)=1</formula1>
      <formula2>0</formula2>
    </dataValidation>
    <dataValidation allowBlank="true" errorStyle="stop" operator="between" showDropDown="false" showErrorMessage="false" showInputMessage="false" sqref="B6:B45" type="list">
      <formula1>Listas!$F$2:$F$3</formula1>
      <formula2>0</formula2>
    </dataValidation>
    <dataValidation allowBlank="true" errorStyle="stop" operator="between" showDropDown="false" showErrorMessage="false" showInputMessage="false" sqref="D6:D45" type="list">
      <formula1>Listas!$H$2:$H$3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7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A3" s="2" t="s">
        <v>89</v>
      </c>
    </row>
    <row r="5" customFormat="false" ht="31.5" hidden="false" customHeight="true" outlineLevel="0" collapsed="false">
      <c r="A5" s="7" t="s">
        <v>90</v>
      </c>
      <c r="B5" s="7" t="s">
        <v>31</v>
      </c>
      <c r="C5" s="7" t="s">
        <v>49</v>
      </c>
      <c r="D5" s="7" t="s">
        <v>50</v>
      </c>
      <c r="E5" s="7" t="s">
        <v>9</v>
      </c>
      <c r="F5" s="7" t="s">
        <v>91</v>
      </c>
      <c r="G5" s="7" t="s">
        <v>29</v>
      </c>
      <c r="H5" s="7" t="s">
        <v>92</v>
      </c>
      <c r="I5" s="7" t="s">
        <v>93</v>
      </c>
      <c r="J5" s="7" t="s">
        <v>94</v>
      </c>
    </row>
    <row r="6" customFormat="false" ht="15" hidden="false" customHeight="false" outlineLevel="0" collapsed="false">
      <c r="A6" s="22" t="n">
        <v>46266</v>
      </c>
      <c r="B6" s="18" t="s">
        <v>34</v>
      </c>
      <c r="C6" s="18" t="s">
        <v>59</v>
      </c>
      <c r="D6" s="19" t="str">
        <f aca="false">IF($C6="","",IFERROR(INDEX(Estoque!$C$6:$C$45,MATCH($C6,Estoque!$A$6:$A$45,0)),"Código não encontrado"))</f>
        <v>Kit Cinza Claro</v>
      </c>
      <c r="E6" s="19" t="str">
        <f aca="false">IF($C6="","",IFERROR(INDEX(Estoque!$B$6:$B$45,MATCH($C6,Estoque!$A$6:$A$45,0)),"Código não encontrado"))</f>
        <v>Fornecedor Alfa</v>
      </c>
      <c r="F6" s="18" t="s">
        <v>95</v>
      </c>
      <c r="G6" s="18"/>
      <c r="H6" s="18" t="n">
        <v>8</v>
      </c>
      <c r="I6" s="20" t="n">
        <f aca="false">IF(OR($B6="",$C6=""),"",IF(OR($B6="Retorno de sobra",$B6="Saída de sobra"),IFERROR(VLOOKUP($G6,Listas!$A$2:$B$5,2,FALSE()),0)*IF($H6="",1,$H6),$H6))</f>
        <v>8</v>
      </c>
      <c r="J6" s="21" t="str">
        <f aca="false">IF($C6="","",IF(ISNA(MATCH($C6,Estoque!$A$6:$A$45,0)),"⚠ Código não encontrado",IF(AND(OR($B6="Retorno de sobra",$B6="Saída de sobra"),$G6=""),"⚠ Escolha a medida da sobra",IF(AND(OR($B6="Entrada",$B6="Saída"),$H6=""),"⚠ Informe a quantidade","OK"))))</f>
        <v>OK</v>
      </c>
    </row>
    <row r="7" customFormat="false" ht="15" hidden="false" customHeight="false" outlineLevel="0" collapsed="false">
      <c r="A7" s="22" t="n">
        <v>46266</v>
      </c>
      <c r="B7" s="18" t="s">
        <v>34</v>
      </c>
      <c r="C7" s="18" t="s">
        <v>61</v>
      </c>
      <c r="D7" s="19" t="str">
        <f aca="false">IF($C7="","",IFERROR(INDEX(Estoque!$C$6:$C$45,MATCH($C7,Estoque!$A$6:$A$45,0)),"Código não encontrado"))</f>
        <v>Kit Preto</v>
      </c>
      <c r="E7" s="19" t="str">
        <f aca="false">IF($C7="","",IFERROR(INDEX(Estoque!$B$6:$B$45,MATCH($C7,Estoque!$A$6:$A$45,0)),"Código não encontrado"))</f>
        <v>Fornecedor Alfa</v>
      </c>
      <c r="F7" s="18" t="s">
        <v>95</v>
      </c>
      <c r="G7" s="18"/>
      <c r="H7" s="18" t="n">
        <v>6</v>
      </c>
      <c r="I7" s="20" t="n">
        <f aca="false">IF(OR($B7="",$C7=""),"",IF(OR($B7="Retorno de sobra",$B7="Saída de sobra"),IFERROR(VLOOKUP($G7,Listas!$A$2:$B$5,2,FALSE()),0)*IF($H7="",1,$H7),$H7))</f>
        <v>6</v>
      </c>
      <c r="J7" s="21" t="str">
        <f aca="false">IF($C7="","",IF(ISNA(MATCH($C7,Estoque!$A$6:$A$45,0)),"⚠ Código não encontrado",IF(AND(OR($B7="Retorno de sobra",$B7="Saída de sobra"),$G7=""),"⚠ Escolha a medida da sobra",IF(AND(OR($B7="Entrada",$B7="Saída"),$H7=""),"⚠ Informe a quantidade","OK"))))</f>
        <v>OK</v>
      </c>
    </row>
    <row r="8" customFormat="false" ht="15" hidden="false" customHeight="false" outlineLevel="0" collapsed="false">
      <c r="A8" s="22" t="n">
        <v>46266</v>
      </c>
      <c r="B8" s="18" t="s">
        <v>34</v>
      </c>
      <c r="C8" s="18" t="s">
        <v>63</v>
      </c>
      <c r="D8" s="19" t="str">
        <f aca="false">IF($C8="","",IFERROR(INDEX(Estoque!$C$6:$C$45,MATCH($C8,Estoque!$A$6:$A$45,0)),"Código não encontrado"))</f>
        <v>Kit Grafite</v>
      </c>
      <c r="E8" s="19" t="str">
        <f aca="false">IF($C8="","",IFERROR(INDEX(Estoque!$B$6:$B$45,MATCH($C8,Estoque!$A$6:$A$45,0)),"Código não encontrado"))</f>
        <v>Fornecedor Alfa</v>
      </c>
      <c r="F8" s="18" t="s">
        <v>95</v>
      </c>
      <c r="G8" s="18"/>
      <c r="H8" s="18" t="n">
        <v>5</v>
      </c>
      <c r="I8" s="20" t="n">
        <f aca="false">IF(OR($B8="",$C8=""),"",IF(OR($B8="Retorno de sobra",$B8="Saída de sobra"),IFERROR(VLOOKUP($G8,Listas!$A$2:$B$5,2,FALSE()),0)*IF($H8="",1,$H8),$H8))</f>
        <v>5</v>
      </c>
      <c r="J8" s="21" t="str">
        <f aca="false">IF($C8="","",IF(ISNA(MATCH($C8,Estoque!$A$6:$A$45,0)),"⚠ Código não encontrado",IF(AND(OR($B8="Retorno de sobra",$B8="Saída de sobra"),$G8=""),"⚠ Escolha a medida da sobra",IF(AND(OR($B8="Entrada",$B8="Saída"),$H8=""),"⚠ Informe a quantidade","OK"))))</f>
        <v>OK</v>
      </c>
    </row>
    <row r="9" customFormat="false" ht="15" hidden="false" customHeight="false" outlineLevel="0" collapsed="false">
      <c r="A9" s="22" t="n">
        <v>46266</v>
      </c>
      <c r="B9" s="18" t="s">
        <v>34</v>
      </c>
      <c r="C9" s="18" t="s">
        <v>65</v>
      </c>
      <c r="D9" s="19" t="str">
        <f aca="false">IF($C9="","",IFERROR(INDEX(Estoque!$C$6:$C$45,MATCH($C9,Estoque!$A$6:$A$45,0)),"Código não encontrado"))</f>
        <v>Kit Bege</v>
      </c>
      <c r="E9" s="19" t="str">
        <f aca="false">IF($C9="","",IFERROR(INDEX(Estoque!$B$6:$B$45,MATCH($C9,Estoque!$A$6:$A$45,0)),"Código não encontrado"))</f>
        <v>Fornecedor Alfa</v>
      </c>
      <c r="F9" s="18" t="s">
        <v>95</v>
      </c>
      <c r="G9" s="18"/>
      <c r="H9" s="18" t="n">
        <v>4</v>
      </c>
      <c r="I9" s="20" t="n">
        <f aca="false">IF(OR($B9="",$C9=""),"",IF(OR($B9="Retorno de sobra",$B9="Saída de sobra"),IFERROR(VLOOKUP($G9,Listas!$A$2:$B$5,2,FALSE()),0)*IF($H9="",1,$H9),$H9))</f>
        <v>4</v>
      </c>
      <c r="J9" s="21" t="str">
        <f aca="false">IF($C9="","",IF(ISNA(MATCH($C9,Estoque!$A$6:$A$45,0)),"⚠ Código não encontrado",IF(AND(OR($B9="Retorno de sobra",$B9="Saída de sobra"),$G9=""),"⚠ Escolha a medida da sobra",IF(AND(OR($B9="Entrada",$B9="Saída"),$H9=""),"⚠ Informe a quantidade","OK"))))</f>
        <v>OK</v>
      </c>
    </row>
    <row r="10" customFormat="false" ht="15" hidden="false" customHeight="false" outlineLevel="0" collapsed="false">
      <c r="A10" s="22" t="n">
        <v>46266</v>
      </c>
      <c r="B10" s="18" t="s">
        <v>34</v>
      </c>
      <c r="C10" s="18" t="s">
        <v>67</v>
      </c>
      <c r="D10" s="19" t="str">
        <f aca="false">IF($C10="","",IFERROR(INDEX(Estoque!$C$6:$C$45,MATCH($C10,Estoque!$A$6:$A$45,0)),"Código não encontrado"))</f>
        <v>Kit Areia</v>
      </c>
      <c r="E10" s="19" t="str">
        <f aca="false">IF($C10="","",IFERROR(INDEX(Estoque!$B$6:$B$45,MATCH($C10,Estoque!$A$6:$A$45,0)),"Código não encontrado"))</f>
        <v>Fornecedor Beta</v>
      </c>
      <c r="F10" s="18" t="s">
        <v>95</v>
      </c>
      <c r="G10" s="18"/>
      <c r="H10" s="18" t="n">
        <v>6</v>
      </c>
      <c r="I10" s="20" t="n">
        <f aca="false">IF(OR($B10="",$C10=""),"",IF(OR($B10="Retorno de sobra",$B10="Saída de sobra"),IFERROR(VLOOKUP($G10,Listas!$A$2:$B$5,2,FALSE()),0)*IF($H10="",1,$H10),$H10))</f>
        <v>6</v>
      </c>
      <c r="J10" s="21" t="str">
        <f aca="false">IF($C10="","",IF(ISNA(MATCH($C10,Estoque!$A$6:$A$45,0)),"⚠ Código não encontrado",IF(AND(OR($B10="Retorno de sobra",$B10="Saída de sobra"),$G10=""),"⚠ Escolha a medida da sobra",IF(AND(OR($B10="Entrada",$B10="Saída"),$H10=""),"⚠ Informe a quantidade","OK"))))</f>
        <v>OK</v>
      </c>
    </row>
    <row r="11" customFormat="false" ht="15" hidden="false" customHeight="false" outlineLevel="0" collapsed="false">
      <c r="A11" s="22" t="n">
        <v>46266</v>
      </c>
      <c r="B11" s="18" t="s">
        <v>34</v>
      </c>
      <c r="C11" s="18" t="s">
        <v>69</v>
      </c>
      <c r="D11" s="19" t="str">
        <f aca="false">IF($C11="","",IFERROR(INDEX(Estoque!$C$6:$C$45,MATCH($C11,Estoque!$A$6:$A$45,0)),"Código não encontrado"))</f>
        <v>Kit Azul Marinho</v>
      </c>
      <c r="E11" s="19" t="str">
        <f aca="false">IF($C11="","",IFERROR(INDEX(Estoque!$B$6:$B$45,MATCH($C11,Estoque!$A$6:$A$45,0)),"Código não encontrado"))</f>
        <v>Fornecedor Beta</v>
      </c>
      <c r="F11" s="18" t="s">
        <v>95</v>
      </c>
      <c r="G11" s="18"/>
      <c r="H11" s="18" t="n">
        <v>4</v>
      </c>
      <c r="I11" s="20" t="n">
        <f aca="false">IF(OR($B11="",$C11=""),"",IF(OR($B11="Retorno de sobra",$B11="Saída de sobra"),IFERROR(VLOOKUP($G11,Listas!$A$2:$B$5,2,FALSE()),0)*IF($H11="",1,$H11),$H11))</f>
        <v>4</v>
      </c>
      <c r="J11" s="21" t="str">
        <f aca="false">IF($C11="","",IF(ISNA(MATCH($C11,Estoque!$A$6:$A$45,0)),"⚠ Código não encontrado",IF(AND(OR($B11="Retorno de sobra",$B11="Saída de sobra"),$G11=""),"⚠ Escolha a medida da sobra",IF(AND(OR($B11="Entrada",$B11="Saída"),$H11=""),"⚠ Informe a quantidade","OK"))))</f>
        <v>OK</v>
      </c>
    </row>
    <row r="12" customFormat="false" ht="15" hidden="false" customHeight="false" outlineLevel="0" collapsed="false">
      <c r="A12" s="22" t="n">
        <v>46266</v>
      </c>
      <c r="B12" s="18" t="s">
        <v>34</v>
      </c>
      <c r="C12" s="18" t="s">
        <v>71</v>
      </c>
      <c r="D12" s="19" t="str">
        <f aca="false">IF($C12="","",IFERROR(INDEX(Estoque!$C$6:$C$45,MATCH($C12,Estoque!$A$6:$A$45,0)),"Código não encontrado"))</f>
        <v>Kit Branco</v>
      </c>
      <c r="E12" s="19" t="str">
        <f aca="false">IF($C12="","",IFERROR(INDEX(Estoque!$B$6:$B$45,MATCH($C12,Estoque!$A$6:$A$45,0)),"Código não encontrado"))</f>
        <v>Fornecedor Beta</v>
      </c>
      <c r="F12" s="18" t="s">
        <v>95</v>
      </c>
      <c r="G12" s="18"/>
      <c r="H12" s="18" t="n">
        <v>6</v>
      </c>
      <c r="I12" s="20" t="n">
        <f aca="false">IF(OR($B12="",$C12=""),"",IF(OR($B12="Retorno de sobra",$B12="Saída de sobra"),IFERROR(VLOOKUP($G12,Listas!$A$2:$B$5,2,FALSE()),0)*IF($H12="",1,$H12),$H12))</f>
        <v>6</v>
      </c>
      <c r="J12" s="21" t="str">
        <f aca="false">IF($C12="","",IF(ISNA(MATCH($C12,Estoque!$A$6:$A$45,0)),"⚠ Código não encontrado",IF(AND(OR($B12="Retorno de sobra",$B12="Saída de sobra"),$G12=""),"⚠ Escolha a medida da sobra",IF(AND(OR($B12="Entrada",$B12="Saída"),$H12=""),"⚠ Informe a quantidade","OK"))))</f>
        <v>OK</v>
      </c>
    </row>
    <row r="13" customFormat="false" ht="15" hidden="false" customHeight="false" outlineLevel="0" collapsed="false">
      <c r="A13" s="22" t="n">
        <v>46266</v>
      </c>
      <c r="B13" s="18" t="s">
        <v>34</v>
      </c>
      <c r="C13" s="18" t="s">
        <v>73</v>
      </c>
      <c r="D13" s="19" t="str">
        <f aca="false">IF($C13="","",IFERROR(INDEX(Estoque!$C$6:$C$45,MATCH($C13,Estoque!$A$6:$A$45,0)),"Código não encontrado"))</f>
        <v>Kit Terracota</v>
      </c>
      <c r="E13" s="19" t="str">
        <f aca="false">IF($C13="","",IFERROR(INDEX(Estoque!$B$6:$B$45,MATCH($C13,Estoque!$A$6:$A$45,0)),"Código não encontrado"))</f>
        <v>Fornecedor Beta</v>
      </c>
      <c r="F13" s="18" t="s">
        <v>95</v>
      </c>
      <c r="G13" s="18"/>
      <c r="H13" s="18" t="n">
        <v>3</v>
      </c>
      <c r="I13" s="20" t="n">
        <f aca="false">IF(OR($B13="",$C13=""),"",IF(OR($B13="Retorno de sobra",$B13="Saída de sobra"),IFERROR(VLOOKUP($G13,Listas!$A$2:$B$5,2,FALSE()),0)*IF($H13="",1,$H13),$H13))</f>
        <v>3</v>
      </c>
      <c r="J13" s="21" t="str">
        <f aca="false">IF($C13="","",IF(ISNA(MATCH($C13,Estoque!$A$6:$A$45,0)),"⚠ Código não encontrado",IF(AND(OR($B13="Retorno de sobra",$B13="Saída de sobra"),$G13=""),"⚠ Escolha a medida da sobra",IF(AND(OR($B13="Entrada",$B13="Saída"),$H13=""),"⚠ Informe a quantidade","OK"))))</f>
        <v>OK</v>
      </c>
    </row>
    <row r="14" customFormat="false" ht="15" hidden="false" customHeight="false" outlineLevel="0" collapsed="false">
      <c r="A14" s="22" t="n">
        <v>46266</v>
      </c>
      <c r="B14" s="18" t="s">
        <v>34</v>
      </c>
      <c r="C14" s="18" t="s">
        <v>75</v>
      </c>
      <c r="D14" s="19" t="str">
        <f aca="false">IF($C14="","",IFERROR(INDEX(Estoque!$C$6:$C$45,MATCH($C14,Estoque!$A$6:$A$45,0)),"Código não encontrado"))</f>
        <v>Selador de acabamento</v>
      </c>
      <c r="E14" s="19" t="str">
        <f aca="false">IF($C14="","",IFERROR(INDEX(Estoque!$B$6:$B$45,MATCH($C14,Estoque!$A$6:$A$45,0)),"Código não encontrado"))</f>
        <v>Fornecedor Alfa</v>
      </c>
      <c r="F14" s="18" t="s">
        <v>95</v>
      </c>
      <c r="G14" s="18"/>
      <c r="H14" s="18" t="n">
        <v>10</v>
      </c>
      <c r="I14" s="20" t="n">
        <f aca="false">IF(OR($B14="",$C14=""),"",IF(OR($B14="Retorno de sobra",$B14="Saída de sobra"),IFERROR(VLOOKUP($G14,Listas!$A$2:$B$5,2,FALSE()),0)*IF($H14="",1,$H14),$H14))</f>
        <v>10</v>
      </c>
      <c r="J14" s="21" t="str">
        <f aca="false">IF($C14="","",IF(ISNA(MATCH($C14,Estoque!$A$6:$A$45,0)),"⚠ Código não encontrado",IF(AND(OR($B14="Retorno de sobra",$B14="Saída de sobra"),$G14=""),"⚠ Escolha a medida da sobra",IF(AND(OR($B14="Entrada",$B14="Saída"),$H14=""),"⚠ Informe a quantidade","OK"))))</f>
        <v>OK</v>
      </c>
    </row>
    <row r="15" customFormat="false" ht="15" hidden="false" customHeight="false" outlineLevel="0" collapsed="false">
      <c r="A15" s="22" t="n">
        <v>46266</v>
      </c>
      <c r="B15" s="18" t="s">
        <v>34</v>
      </c>
      <c r="C15" s="18" t="s">
        <v>77</v>
      </c>
      <c r="D15" s="19" t="str">
        <f aca="false">IF($C15="","",IFERROR(INDEX(Estoque!$C$6:$C$45,MATCH($C15,Estoque!$A$6:$A$45,0)),"Código não encontrado"))</f>
        <v>Balde 5 L</v>
      </c>
      <c r="E15" s="19" t="str">
        <f aca="false">IF($C15="","",IFERROR(INDEX(Estoque!$B$6:$B$45,MATCH($C15,Estoque!$A$6:$A$45,0)),"Código não encontrado"))</f>
        <v>Fornecedor Alfa</v>
      </c>
      <c r="F15" s="18" t="s">
        <v>95</v>
      </c>
      <c r="G15" s="18"/>
      <c r="H15" s="18" t="n">
        <v>12</v>
      </c>
      <c r="I15" s="20" t="n">
        <f aca="false">IF(OR($B15="",$C15=""),"",IF(OR($B15="Retorno de sobra",$B15="Saída de sobra"),IFERROR(VLOOKUP($G15,Listas!$A$2:$B$5,2,FALSE()),0)*IF($H15="",1,$H15),$H15))</f>
        <v>12</v>
      </c>
      <c r="J15" s="21" t="str">
        <f aca="false">IF($C15="","",IF(ISNA(MATCH($C15,Estoque!$A$6:$A$45,0)),"⚠ Código não encontrado",IF(AND(OR($B15="Retorno de sobra",$B15="Saída de sobra"),$G15=""),"⚠ Escolha a medida da sobra",IF(AND(OR($B15="Entrada",$B15="Saída"),$H15=""),"⚠ Informe a quantidade","OK"))))</f>
        <v>OK</v>
      </c>
    </row>
    <row r="16" customFormat="false" ht="15" hidden="false" customHeight="false" outlineLevel="0" collapsed="false">
      <c r="A16" s="22" t="n">
        <v>46266</v>
      </c>
      <c r="B16" s="18" t="s">
        <v>34</v>
      </c>
      <c r="C16" s="18" t="s">
        <v>79</v>
      </c>
      <c r="D16" s="19" t="str">
        <f aca="false">IF($C16="","",IFERROR(INDEX(Estoque!$C$6:$C$45,MATCH($C16,Estoque!$A$6:$A$45,0)),"Código não encontrado"))</f>
        <v>Pincel</v>
      </c>
      <c r="E16" s="19" t="str">
        <f aca="false">IF($C16="","",IFERROR(INDEX(Estoque!$B$6:$B$45,MATCH($C16,Estoque!$A$6:$A$45,0)),"Código não encontrado"))</f>
        <v>Fornecedor Beta</v>
      </c>
      <c r="F16" s="18" t="s">
        <v>95</v>
      </c>
      <c r="G16" s="18"/>
      <c r="H16" s="18" t="n">
        <v>8</v>
      </c>
      <c r="I16" s="20" t="n">
        <f aca="false">IF(OR($B16="",$C16=""),"",IF(OR($B16="Retorno de sobra",$B16="Saída de sobra"),IFERROR(VLOOKUP($G16,Listas!$A$2:$B$5,2,FALSE()),0)*IF($H16="",1,$H16),$H16))</f>
        <v>8</v>
      </c>
      <c r="J16" s="21" t="str">
        <f aca="false">IF($C16="","",IF(ISNA(MATCH($C16,Estoque!$A$6:$A$45,0)),"⚠ Código não encontrado",IF(AND(OR($B16="Retorno de sobra",$B16="Saída de sobra"),$G16=""),"⚠ Escolha a medida da sobra",IF(AND(OR($B16="Entrada",$B16="Saída"),$H16=""),"⚠ Informe a quantidade","OK"))))</f>
        <v>OK</v>
      </c>
    </row>
    <row r="17" customFormat="false" ht="15" hidden="false" customHeight="false" outlineLevel="0" collapsed="false">
      <c r="A17" s="22" t="n">
        <v>46266</v>
      </c>
      <c r="B17" s="18" t="s">
        <v>34</v>
      </c>
      <c r="C17" s="18" t="s">
        <v>81</v>
      </c>
      <c r="D17" s="19" t="str">
        <f aca="false">IF($C17="","",IFERROR(INDEX(Estoque!$C$6:$C$45,MATCH($C17,Estoque!$A$6:$A$45,0)),"Código não encontrado"))</f>
        <v>Rolo</v>
      </c>
      <c r="E17" s="19" t="str">
        <f aca="false">IF($C17="","",IFERROR(INDEX(Estoque!$B$6:$B$45,MATCH($C17,Estoque!$A$6:$A$45,0)),"Código não encontrado"))</f>
        <v>Fornecedor Beta</v>
      </c>
      <c r="F17" s="18" t="s">
        <v>95</v>
      </c>
      <c r="G17" s="18"/>
      <c r="H17" s="18" t="n">
        <v>8</v>
      </c>
      <c r="I17" s="20" t="n">
        <f aca="false">IF(OR($B17="",$C17=""),"",IF(OR($B17="Retorno de sobra",$B17="Saída de sobra"),IFERROR(VLOOKUP($G17,Listas!$A$2:$B$5,2,FALSE()),0)*IF($H17="",1,$H17),$H17))</f>
        <v>8</v>
      </c>
      <c r="J17" s="21" t="str">
        <f aca="false">IF($C17="","",IF(ISNA(MATCH($C17,Estoque!$A$6:$A$45,0)),"⚠ Código não encontrado",IF(AND(OR($B17="Retorno de sobra",$B17="Saída de sobra"),$G17=""),"⚠ Escolha a medida da sobra",IF(AND(OR($B17="Entrada",$B17="Saída"),$H17=""),"⚠ Informe a quantidade","OK"))))</f>
        <v>OK</v>
      </c>
    </row>
    <row r="18" customFormat="false" ht="15" hidden="false" customHeight="false" outlineLevel="0" collapsed="false">
      <c r="A18" s="22" t="n">
        <v>46266</v>
      </c>
      <c r="B18" s="18" t="s">
        <v>34</v>
      </c>
      <c r="C18" s="18" t="s">
        <v>83</v>
      </c>
      <c r="D18" s="19" t="str">
        <f aca="false">IF($C18="","",IFERROR(INDEX(Estoque!$C$6:$C$45,MATCH($C18,Estoque!$A$6:$A$45,0)),"Código não encontrado"))</f>
        <v>Fita crepe</v>
      </c>
      <c r="E18" s="19" t="str">
        <f aca="false">IF($C18="","",IFERROR(INDEX(Estoque!$B$6:$B$45,MATCH($C18,Estoque!$A$6:$A$45,0)),"Código não encontrado"))</f>
        <v>Fornecedor Beta</v>
      </c>
      <c r="F18" s="18" t="s">
        <v>95</v>
      </c>
      <c r="G18" s="18"/>
      <c r="H18" s="18" t="n">
        <v>20</v>
      </c>
      <c r="I18" s="20" t="n">
        <f aca="false">IF(OR($B18="",$C18=""),"",IF(OR($B18="Retorno de sobra",$B18="Saída de sobra"),IFERROR(VLOOKUP($G18,Listas!$A$2:$B$5,2,FALSE()),0)*IF($H18="",1,$H18),$H18))</f>
        <v>20</v>
      </c>
      <c r="J18" s="21" t="str">
        <f aca="false">IF($C18="","",IF(ISNA(MATCH($C18,Estoque!$A$6:$A$45,0)),"⚠ Código não encontrado",IF(AND(OR($B18="Retorno de sobra",$B18="Saída de sobra"),$G18=""),"⚠ Escolha a medida da sobra",IF(AND(OR($B18="Entrada",$B18="Saída"),$H18=""),"⚠ Informe a quantidade","OK"))))</f>
        <v>OK</v>
      </c>
    </row>
    <row r="19" customFormat="false" ht="15" hidden="false" customHeight="false" outlineLevel="0" collapsed="false">
      <c r="A19" s="22" t="n">
        <v>46266</v>
      </c>
      <c r="B19" s="18" t="s">
        <v>34</v>
      </c>
      <c r="C19" s="18" t="s">
        <v>85</v>
      </c>
      <c r="D19" s="19" t="str">
        <f aca="false">IF($C19="","",IFERROR(INDEX(Estoque!$C$6:$C$45,MATCH($C19,Estoque!$A$6:$A$45,0)),"Código não encontrado"))</f>
        <v>Caixa de luvas</v>
      </c>
      <c r="E19" s="19" t="str">
        <f aca="false">IF($C19="","",IFERROR(INDEX(Estoque!$B$6:$B$45,MATCH($C19,Estoque!$A$6:$A$45,0)),"Código não encontrado"))</f>
        <v>Fornecedor Alfa</v>
      </c>
      <c r="F19" s="18" t="s">
        <v>95</v>
      </c>
      <c r="G19" s="18"/>
      <c r="H19" s="18" t="n">
        <v>6</v>
      </c>
      <c r="I19" s="20" t="n">
        <f aca="false">IF(OR($B19="",$C19=""),"",IF(OR($B19="Retorno de sobra",$B19="Saída de sobra"),IFERROR(VLOOKUP($G19,Listas!$A$2:$B$5,2,FALSE()),0)*IF($H19="",1,$H19),$H19))</f>
        <v>6</v>
      </c>
      <c r="J19" s="21" t="str">
        <f aca="false">IF($C19="","",IF(ISNA(MATCH($C19,Estoque!$A$6:$A$45,0)),"⚠ Código não encontrado",IF(AND(OR($B19="Retorno de sobra",$B19="Saída de sobra"),$G19=""),"⚠ Escolha a medida da sobra",IF(AND(OR($B19="Entrada",$B19="Saída"),$H19=""),"⚠ Informe a quantidade","OK"))))</f>
        <v>OK</v>
      </c>
    </row>
    <row r="20" customFormat="false" ht="15" hidden="false" customHeight="false" outlineLevel="0" collapsed="false">
      <c r="A20" s="22" t="n">
        <v>46275</v>
      </c>
      <c r="B20" s="18" t="s">
        <v>38</v>
      </c>
      <c r="C20" s="18" t="s">
        <v>59</v>
      </c>
      <c r="D20" s="19" t="str">
        <f aca="false">IF($C20="","",IFERROR(INDEX(Estoque!$C$6:$C$45,MATCH($C20,Estoque!$A$6:$A$45,0)),"Código não encontrado"))</f>
        <v>Kit Cinza Claro</v>
      </c>
      <c r="E20" s="19" t="str">
        <f aca="false">IF($C20="","",IFERROR(INDEX(Estoque!$B$6:$B$45,MATCH($C20,Estoque!$A$6:$A$45,0)),"Código não encontrado"))</f>
        <v>Fornecedor Alfa</v>
      </c>
      <c r="F20" s="18" t="s">
        <v>96</v>
      </c>
      <c r="G20" s="18"/>
      <c r="H20" s="18" t="n">
        <v>5</v>
      </c>
      <c r="I20" s="20" t="n">
        <f aca="false">IF(OR($B20="",$C20=""),"",IF(OR($B20="Retorno de sobra",$B20="Saída de sobra"),IFERROR(VLOOKUP($G20,Listas!$A$2:$B$5,2,FALSE()),0)*IF($H20="",1,$H20),$H20))</f>
        <v>5</v>
      </c>
      <c r="J20" s="21" t="str">
        <f aca="false">IF($C20="","",IF(ISNA(MATCH($C20,Estoque!$A$6:$A$45,0)),"⚠ Código não encontrado",IF(AND(OR($B20="Retorno de sobra",$B20="Saída de sobra"),$G20=""),"⚠ Escolha a medida da sobra",IF(AND(OR($B20="Entrada",$B20="Saída"),$H20=""),"⚠ Informe a quantidade","OK"))))</f>
        <v>OK</v>
      </c>
    </row>
    <row r="21" customFormat="false" ht="15" hidden="false" customHeight="false" outlineLevel="0" collapsed="false">
      <c r="A21" s="22" t="n">
        <v>46276</v>
      </c>
      <c r="B21" s="18" t="s">
        <v>38</v>
      </c>
      <c r="C21" s="18" t="s">
        <v>61</v>
      </c>
      <c r="D21" s="19" t="str">
        <f aca="false">IF($C21="","",IFERROR(INDEX(Estoque!$C$6:$C$45,MATCH($C21,Estoque!$A$6:$A$45,0)),"Código não encontrado"))</f>
        <v>Kit Preto</v>
      </c>
      <c r="E21" s="19" t="str">
        <f aca="false">IF($C21="","",IFERROR(INDEX(Estoque!$B$6:$B$45,MATCH($C21,Estoque!$A$6:$A$45,0)),"Código não encontrado"))</f>
        <v>Fornecedor Alfa</v>
      </c>
      <c r="F21" s="18" t="s">
        <v>97</v>
      </c>
      <c r="G21" s="18"/>
      <c r="H21" s="18" t="n">
        <v>4</v>
      </c>
      <c r="I21" s="20" t="n">
        <f aca="false">IF(OR($B21="",$C21=""),"",IF(OR($B21="Retorno de sobra",$B21="Saída de sobra"),IFERROR(VLOOKUP($G21,Listas!$A$2:$B$5,2,FALSE()),0)*IF($H21="",1,$H21),$H21))</f>
        <v>4</v>
      </c>
      <c r="J21" s="21" t="str">
        <f aca="false">IF($C21="","",IF(ISNA(MATCH($C21,Estoque!$A$6:$A$45,0)),"⚠ Código não encontrado",IF(AND(OR($B21="Retorno de sobra",$B21="Saída de sobra"),$G21=""),"⚠ Escolha a medida da sobra",IF(AND(OR($B21="Entrada",$B21="Saída"),$H21=""),"⚠ Informe a quantidade","OK"))))</f>
        <v>OK</v>
      </c>
    </row>
    <row r="22" customFormat="false" ht="15" hidden="false" customHeight="false" outlineLevel="0" collapsed="false">
      <c r="A22" s="22" t="n">
        <v>46277</v>
      </c>
      <c r="B22" s="18" t="s">
        <v>38</v>
      </c>
      <c r="C22" s="18" t="s">
        <v>63</v>
      </c>
      <c r="D22" s="19" t="str">
        <f aca="false">IF($C22="","",IFERROR(INDEX(Estoque!$C$6:$C$45,MATCH($C22,Estoque!$A$6:$A$45,0)),"Código não encontrado"))</f>
        <v>Kit Grafite</v>
      </c>
      <c r="E22" s="19" t="str">
        <f aca="false">IF($C22="","",IFERROR(INDEX(Estoque!$B$6:$B$45,MATCH($C22,Estoque!$A$6:$A$45,0)),"Código não encontrado"))</f>
        <v>Fornecedor Alfa</v>
      </c>
      <c r="F22" s="18" t="s">
        <v>96</v>
      </c>
      <c r="G22" s="18"/>
      <c r="H22" s="18" t="n">
        <v>4</v>
      </c>
      <c r="I22" s="20" t="n">
        <f aca="false">IF(OR($B22="",$C22=""),"",IF(OR($B22="Retorno de sobra",$B22="Saída de sobra"),IFERROR(VLOOKUP($G22,Listas!$A$2:$B$5,2,FALSE()),0)*IF($H22="",1,$H22),$H22))</f>
        <v>4</v>
      </c>
      <c r="J22" s="21" t="str">
        <f aca="false">IF($C22="","",IF(ISNA(MATCH($C22,Estoque!$A$6:$A$45,0)),"⚠ Código não encontrado",IF(AND(OR($B22="Retorno de sobra",$B22="Saída de sobra"),$G22=""),"⚠ Escolha a medida da sobra",IF(AND(OR($B22="Entrada",$B22="Saída"),$H22=""),"⚠ Informe a quantidade","OK"))))</f>
        <v>OK</v>
      </c>
    </row>
    <row r="23" customFormat="false" ht="15" hidden="false" customHeight="false" outlineLevel="0" collapsed="false">
      <c r="A23" s="22" t="n">
        <v>46278</v>
      </c>
      <c r="B23" s="18" t="s">
        <v>38</v>
      </c>
      <c r="C23" s="18" t="s">
        <v>65</v>
      </c>
      <c r="D23" s="19" t="str">
        <f aca="false">IF($C23="","",IFERROR(INDEX(Estoque!$C$6:$C$45,MATCH($C23,Estoque!$A$6:$A$45,0)),"Código não encontrado"))</f>
        <v>Kit Bege</v>
      </c>
      <c r="E23" s="19" t="str">
        <f aca="false">IF($C23="","",IFERROR(INDEX(Estoque!$B$6:$B$45,MATCH($C23,Estoque!$A$6:$A$45,0)),"Código não encontrado"))</f>
        <v>Fornecedor Alfa</v>
      </c>
      <c r="F23" s="18" t="s">
        <v>98</v>
      </c>
      <c r="G23" s="18"/>
      <c r="H23" s="18" t="n">
        <v>3</v>
      </c>
      <c r="I23" s="20" t="n">
        <f aca="false">IF(OR($B23="",$C23=""),"",IF(OR($B23="Retorno de sobra",$B23="Saída de sobra"),IFERROR(VLOOKUP($G23,Listas!$A$2:$B$5,2,FALSE()),0)*IF($H23="",1,$H23),$H23))</f>
        <v>3</v>
      </c>
      <c r="J23" s="21" t="str">
        <f aca="false">IF($C23="","",IF(ISNA(MATCH($C23,Estoque!$A$6:$A$45,0)),"⚠ Código não encontrado",IF(AND(OR($B23="Retorno de sobra",$B23="Saída de sobra"),$G23=""),"⚠ Escolha a medida da sobra",IF(AND(OR($B23="Entrada",$B23="Saída"),$H23=""),"⚠ Informe a quantidade","OK"))))</f>
        <v>OK</v>
      </c>
    </row>
    <row r="24" customFormat="false" ht="15" hidden="false" customHeight="false" outlineLevel="0" collapsed="false">
      <c r="A24" s="22" t="n">
        <v>46279</v>
      </c>
      <c r="B24" s="18" t="s">
        <v>38</v>
      </c>
      <c r="C24" s="18" t="s">
        <v>67</v>
      </c>
      <c r="D24" s="19" t="str">
        <f aca="false">IF($C24="","",IFERROR(INDEX(Estoque!$C$6:$C$45,MATCH($C24,Estoque!$A$6:$A$45,0)),"Código não encontrado"))</f>
        <v>Kit Areia</v>
      </c>
      <c r="E24" s="19" t="str">
        <f aca="false">IF($C24="","",IFERROR(INDEX(Estoque!$B$6:$B$45,MATCH($C24,Estoque!$A$6:$A$45,0)),"Código não encontrado"))</f>
        <v>Fornecedor Beta</v>
      </c>
      <c r="F24" s="18" t="s">
        <v>97</v>
      </c>
      <c r="G24" s="18"/>
      <c r="H24" s="18" t="n">
        <v>3</v>
      </c>
      <c r="I24" s="20" t="n">
        <f aca="false">IF(OR($B24="",$C24=""),"",IF(OR($B24="Retorno de sobra",$B24="Saída de sobra"),IFERROR(VLOOKUP($G24,Listas!$A$2:$B$5,2,FALSE()),0)*IF($H24="",1,$H24),$H24))</f>
        <v>3</v>
      </c>
      <c r="J24" s="21" t="str">
        <f aca="false">IF($C24="","",IF(ISNA(MATCH($C24,Estoque!$A$6:$A$45,0)),"⚠ Código não encontrado",IF(AND(OR($B24="Retorno de sobra",$B24="Saída de sobra"),$G24=""),"⚠ Escolha a medida da sobra",IF(AND(OR($B24="Entrada",$B24="Saída"),$H24=""),"⚠ Informe a quantidade","OK"))))</f>
        <v>OK</v>
      </c>
    </row>
    <row r="25" customFormat="false" ht="15" hidden="false" customHeight="false" outlineLevel="0" collapsed="false">
      <c r="A25" s="22" t="n">
        <v>46280</v>
      </c>
      <c r="B25" s="18" t="s">
        <v>38</v>
      </c>
      <c r="C25" s="18" t="s">
        <v>69</v>
      </c>
      <c r="D25" s="19" t="str">
        <f aca="false">IF($C25="","",IFERROR(INDEX(Estoque!$C$6:$C$45,MATCH($C25,Estoque!$A$6:$A$45,0)),"Código não encontrado"))</f>
        <v>Kit Azul Marinho</v>
      </c>
      <c r="E25" s="19" t="str">
        <f aca="false">IF($C25="","",IFERROR(INDEX(Estoque!$B$6:$B$45,MATCH($C25,Estoque!$A$6:$A$45,0)),"Código não encontrado"))</f>
        <v>Fornecedor Beta</v>
      </c>
      <c r="F25" s="18" t="s">
        <v>98</v>
      </c>
      <c r="G25" s="18"/>
      <c r="H25" s="18" t="n">
        <v>2</v>
      </c>
      <c r="I25" s="20" t="n">
        <f aca="false">IF(OR($B25="",$C25=""),"",IF(OR($B25="Retorno de sobra",$B25="Saída de sobra"),IFERROR(VLOOKUP($G25,Listas!$A$2:$B$5,2,FALSE()),0)*IF($H25="",1,$H25),$H25))</f>
        <v>2</v>
      </c>
      <c r="J25" s="21" t="str">
        <f aca="false">IF($C25="","",IF(ISNA(MATCH($C25,Estoque!$A$6:$A$45,0)),"⚠ Código não encontrado",IF(AND(OR($B25="Retorno de sobra",$B25="Saída de sobra"),$G25=""),"⚠ Escolha a medida da sobra",IF(AND(OR($B25="Entrada",$B25="Saída"),$H25=""),"⚠ Informe a quantidade","OK"))))</f>
        <v>OK</v>
      </c>
    </row>
    <row r="26" customFormat="false" ht="15" hidden="false" customHeight="false" outlineLevel="0" collapsed="false">
      <c r="A26" s="22" t="n">
        <v>46281</v>
      </c>
      <c r="B26" s="18" t="s">
        <v>38</v>
      </c>
      <c r="C26" s="18" t="s">
        <v>71</v>
      </c>
      <c r="D26" s="19" t="str">
        <f aca="false">IF($C26="","",IFERROR(INDEX(Estoque!$C$6:$C$45,MATCH($C26,Estoque!$A$6:$A$45,0)),"Código não encontrado"))</f>
        <v>Kit Branco</v>
      </c>
      <c r="E26" s="19" t="str">
        <f aca="false">IF($C26="","",IFERROR(INDEX(Estoque!$B$6:$B$45,MATCH($C26,Estoque!$A$6:$A$45,0)),"Código não encontrado"))</f>
        <v>Fornecedor Beta</v>
      </c>
      <c r="F26" s="18" t="s">
        <v>96</v>
      </c>
      <c r="G26" s="18"/>
      <c r="H26" s="18" t="n">
        <v>2</v>
      </c>
      <c r="I26" s="20" t="n">
        <f aca="false">IF(OR($B26="",$C26=""),"",IF(OR($B26="Retorno de sobra",$B26="Saída de sobra"),IFERROR(VLOOKUP($G26,Listas!$A$2:$B$5,2,FALSE()),0)*IF($H26="",1,$H26),$H26))</f>
        <v>2</v>
      </c>
      <c r="J26" s="21" t="str">
        <f aca="false">IF($C26="","",IF(ISNA(MATCH($C26,Estoque!$A$6:$A$45,0)),"⚠ Código não encontrado",IF(AND(OR($B26="Retorno de sobra",$B26="Saída de sobra"),$G26=""),"⚠ Escolha a medida da sobra",IF(AND(OR($B26="Entrada",$B26="Saída"),$H26=""),"⚠ Informe a quantidade","OK"))))</f>
        <v>OK</v>
      </c>
    </row>
    <row r="27" customFormat="false" ht="15" hidden="false" customHeight="false" outlineLevel="0" collapsed="false">
      <c r="A27" s="22" t="n">
        <v>46282</v>
      </c>
      <c r="B27" s="18" t="s">
        <v>38</v>
      </c>
      <c r="C27" s="18" t="s">
        <v>73</v>
      </c>
      <c r="D27" s="19" t="str">
        <f aca="false">IF($C27="","",IFERROR(INDEX(Estoque!$C$6:$C$45,MATCH($C27,Estoque!$A$6:$A$45,0)),"Código não encontrado"))</f>
        <v>Kit Terracota</v>
      </c>
      <c r="E27" s="19" t="str">
        <f aca="false">IF($C27="","",IFERROR(INDEX(Estoque!$B$6:$B$45,MATCH($C27,Estoque!$A$6:$A$45,0)),"Código não encontrado"))</f>
        <v>Fornecedor Beta</v>
      </c>
      <c r="F27" s="18" t="s">
        <v>97</v>
      </c>
      <c r="G27" s="18"/>
      <c r="H27" s="18" t="n">
        <v>1</v>
      </c>
      <c r="I27" s="20" t="n">
        <f aca="false">IF(OR($B27="",$C27=""),"",IF(OR($B27="Retorno de sobra",$B27="Saída de sobra"),IFERROR(VLOOKUP($G27,Listas!$A$2:$B$5,2,FALSE()),0)*IF($H27="",1,$H27),$H27))</f>
        <v>1</v>
      </c>
      <c r="J27" s="21" t="str">
        <f aca="false">IF($C27="","",IF(ISNA(MATCH($C27,Estoque!$A$6:$A$45,0)),"⚠ Código não encontrado",IF(AND(OR($B27="Retorno de sobra",$B27="Saída de sobra"),$G27=""),"⚠ Escolha a medida da sobra",IF(AND(OR($B27="Entrada",$B27="Saída"),$H27=""),"⚠ Informe a quantidade","OK"))))</f>
        <v>OK</v>
      </c>
    </row>
    <row r="28" customFormat="false" ht="15" hidden="false" customHeight="false" outlineLevel="0" collapsed="false">
      <c r="A28" s="22" t="n">
        <v>46283</v>
      </c>
      <c r="B28" s="18" t="s">
        <v>38</v>
      </c>
      <c r="C28" s="18" t="s">
        <v>75</v>
      </c>
      <c r="D28" s="19" t="str">
        <f aca="false">IF($C28="","",IFERROR(INDEX(Estoque!$C$6:$C$45,MATCH($C28,Estoque!$A$6:$A$45,0)),"Código não encontrado"))</f>
        <v>Selador de acabamento</v>
      </c>
      <c r="E28" s="19" t="str">
        <f aca="false">IF($C28="","",IFERROR(INDEX(Estoque!$B$6:$B$45,MATCH($C28,Estoque!$A$6:$A$45,0)),"Código não encontrado"))</f>
        <v>Fornecedor Alfa</v>
      </c>
      <c r="F28" s="18" t="s">
        <v>96</v>
      </c>
      <c r="G28" s="18"/>
      <c r="H28" s="18" t="n">
        <v>6</v>
      </c>
      <c r="I28" s="20" t="n">
        <f aca="false">IF(OR($B28="",$C28=""),"",IF(OR($B28="Retorno de sobra",$B28="Saída de sobra"),IFERROR(VLOOKUP($G28,Listas!$A$2:$B$5,2,FALSE()),0)*IF($H28="",1,$H28),$H28))</f>
        <v>6</v>
      </c>
      <c r="J28" s="21" t="str">
        <f aca="false">IF($C28="","",IF(ISNA(MATCH($C28,Estoque!$A$6:$A$45,0)),"⚠ Código não encontrado",IF(AND(OR($B28="Retorno de sobra",$B28="Saída de sobra"),$G28=""),"⚠ Escolha a medida da sobra",IF(AND(OR($B28="Entrada",$B28="Saída"),$H28=""),"⚠ Informe a quantidade","OK"))))</f>
        <v>OK</v>
      </c>
    </row>
    <row r="29" customFormat="false" ht="15" hidden="false" customHeight="false" outlineLevel="0" collapsed="false">
      <c r="A29" s="22" t="n">
        <v>46284</v>
      </c>
      <c r="B29" s="18" t="s">
        <v>38</v>
      </c>
      <c r="C29" s="18" t="s">
        <v>77</v>
      </c>
      <c r="D29" s="19" t="str">
        <f aca="false">IF($C29="","",IFERROR(INDEX(Estoque!$C$6:$C$45,MATCH($C29,Estoque!$A$6:$A$45,0)),"Código não encontrado"))</f>
        <v>Balde 5 L</v>
      </c>
      <c r="E29" s="19" t="str">
        <f aca="false">IF($C29="","",IFERROR(INDEX(Estoque!$B$6:$B$45,MATCH($C29,Estoque!$A$6:$A$45,0)),"Código não encontrado"))</f>
        <v>Fornecedor Alfa</v>
      </c>
      <c r="F29" s="18" t="s">
        <v>97</v>
      </c>
      <c r="G29" s="18"/>
      <c r="H29" s="18" t="n">
        <v>8</v>
      </c>
      <c r="I29" s="20" t="n">
        <f aca="false">IF(OR($B29="",$C29=""),"",IF(OR($B29="Retorno de sobra",$B29="Saída de sobra"),IFERROR(VLOOKUP($G29,Listas!$A$2:$B$5,2,FALSE()),0)*IF($H29="",1,$H29),$H29))</f>
        <v>8</v>
      </c>
      <c r="J29" s="21" t="str">
        <f aca="false">IF($C29="","",IF(ISNA(MATCH($C29,Estoque!$A$6:$A$45,0)),"⚠ Código não encontrado",IF(AND(OR($B29="Retorno de sobra",$B29="Saída de sobra"),$G29=""),"⚠ Escolha a medida da sobra",IF(AND(OR($B29="Entrada",$B29="Saída"),$H29=""),"⚠ Informe a quantidade","OK"))))</f>
        <v>OK</v>
      </c>
    </row>
    <row r="30" customFormat="false" ht="15" hidden="false" customHeight="false" outlineLevel="0" collapsed="false">
      <c r="A30" s="22" t="n">
        <v>46275</v>
      </c>
      <c r="B30" s="18" t="s">
        <v>38</v>
      </c>
      <c r="C30" s="18" t="s">
        <v>79</v>
      </c>
      <c r="D30" s="19" t="str">
        <f aca="false">IF($C30="","",IFERROR(INDEX(Estoque!$C$6:$C$45,MATCH($C30,Estoque!$A$6:$A$45,0)),"Código não encontrado"))</f>
        <v>Pincel</v>
      </c>
      <c r="E30" s="19" t="str">
        <f aca="false">IF($C30="","",IFERROR(INDEX(Estoque!$B$6:$B$45,MATCH($C30,Estoque!$A$6:$A$45,0)),"Código não encontrado"))</f>
        <v>Fornecedor Beta</v>
      </c>
      <c r="F30" s="18" t="s">
        <v>98</v>
      </c>
      <c r="G30" s="18"/>
      <c r="H30" s="18" t="n">
        <v>5</v>
      </c>
      <c r="I30" s="20" t="n">
        <f aca="false">IF(OR($B30="",$C30=""),"",IF(OR($B30="Retorno de sobra",$B30="Saída de sobra"),IFERROR(VLOOKUP($G30,Listas!$A$2:$B$5,2,FALSE()),0)*IF($H30="",1,$H30),$H30))</f>
        <v>5</v>
      </c>
      <c r="J30" s="21" t="str">
        <f aca="false">IF($C30="","",IF(ISNA(MATCH($C30,Estoque!$A$6:$A$45,0)),"⚠ Código não encontrado",IF(AND(OR($B30="Retorno de sobra",$B30="Saída de sobra"),$G30=""),"⚠ Escolha a medida da sobra",IF(AND(OR($B30="Entrada",$B30="Saída"),$H30=""),"⚠ Informe a quantidade","OK"))))</f>
        <v>OK</v>
      </c>
    </row>
    <row r="31" customFormat="false" ht="15" hidden="false" customHeight="false" outlineLevel="0" collapsed="false">
      <c r="A31" s="22" t="n">
        <v>46276</v>
      </c>
      <c r="B31" s="18" t="s">
        <v>38</v>
      </c>
      <c r="C31" s="18" t="s">
        <v>81</v>
      </c>
      <c r="D31" s="19" t="str">
        <f aca="false">IF($C31="","",IFERROR(INDEX(Estoque!$C$6:$C$45,MATCH($C31,Estoque!$A$6:$A$45,0)),"Código não encontrado"))</f>
        <v>Rolo</v>
      </c>
      <c r="E31" s="19" t="str">
        <f aca="false">IF($C31="","",IFERROR(INDEX(Estoque!$B$6:$B$45,MATCH($C31,Estoque!$A$6:$A$45,0)),"Código não encontrado"))</f>
        <v>Fornecedor Beta</v>
      </c>
      <c r="F31" s="18" t="s">
        <v>96</v>
      </c>
      <c r="G31" s="18"/>
      <c r="H31" s="18" t="n">
        <v>3</v>
      </c>
      <c r="I31" s="20" t="n">
        <f aca="false">IF(OR($B31="",$C31=""),"",IF(OR($B31="Retorno de sobra",$B31="Saída de sobra"),IFERROR(VLOOKUP($G31,Listas!$A$2:$B$5,2,FALSE()),0)*IF($H31="",1,$H31),$H31))</f>
        <v>3</v>
      </c>
      <c r="J31" s="21" t="str">
        <f aca="false">IF($C31="","",IF(ISNA(MATCH($C31,Estoque!$A$6:$A$45,0)),"⚠ Código não encontrado",IF(AND(OR($B31="Retorno de sobra",$B31="Saída de sobra"),$G31=""),"⚠ Escolha a medida da sobra",IF(AND(OR($B31="Entrada",$B31="Saída"),$H31=""),"⚠ Informe a quantidade","OK"))))</f>
        <v>OK</v>
      </c>
    </row>
    <row r="32" customFormat="false" ht="15" hidden="false" customHeight="false" outlineLevel="0" collapsed="false">
      <c r="A32" s="22" t="n">
        <v>46277</v>
      </c>
      <c r="B32" s="18" t="s">
        <v>38</v>
      </c>
      <c r="C32" s="18" t="s">
        <v>83</v>
      </c>
      <c r="D32" s="19" t="str">
        <f aca="false">IF($C32="","",IFERROR(INDEX(Estoque!$C$6:$C$45,MATCH($C32,Estoque!$A$6:$A$45,0)),"Código não encontrado"))</f>
        <v>Fita crepe</v>
      </c>
      <c r="E32" s="19" t="str">
        <f aca="false">IF($C32="","",IFERROR(INDEX(Estoque!$B$6:$B$45,MATCH($C32,Estoque!$A$6:$A$45,0)),"Código não encontrado"))</f>
        <v>Fornecedor Beta</v>
      </c>
      <c r="F32" s="18" t="s">
        <v>97</v>
      </c>
      <c r="G32" s="18"/>
      <c r="H32" s="18" t="n">
        <v>12</v>
      </c>
      <c r="I32" s="20" t="n">
        <f aca="false">IF(OR($B32="",$C32=""),"",IF(OR($B32="Retorno de sobra",$B32="Saída de sobra"),IFERROR(VLOOKUP($G32,Listas!$A$2:$B$5,2,FALSE()),0)*IF($H32="",1,$H32),$H32))</f>
        <v>12</v>
      </c>
      <c r="J32" s="21" t="str">
        <f aca="false">IF($C32="","",IF(ISNA(MATCH($C32,Estoque!$A$6:$A$45,0)),"⚠ Código não encontrado",IF(AND(OR($B32="Retorno de sobra",$B32="Saída de sobra"),$G32=""),"⚠ Escolha a medida da sobra",IF(AND(OR($B32="Entrada",$B32="Saída"),$H32=""),"⚠ Informe a quantidade","OK"))))</f>
        <v>OK</v>
      </c>
    </row>
    <row r="33" customFormat="false" ht="15" hidden="false" customHeight="false" outlineLevel="0" collapsed="false">
      <c r="A33" s="22" t="n">
        <v>46278</v>
      </c>
      <c r="B33" s="18" t="s">
        <v>38</v>
      </c>
      <c r="C33" s="18" t="s">
        <v>85</v>
      </c>
      <c r="D33" s="19" t="str">
        <f aca="false">IF($C33="","",IFERROR(INDEX(Estoque!$C$6:$C$45,MATCH($C33,Estoque!$A$6:$A$45,0)),"Código não encontrado"))</f>
        <v>Caixa de luvas</v>
      </c>
      <c r="E33" s="19" t="str">
        <f aca="false">IF($C33="","",IFERROR(INDEX(Estoque!$B$6:$B$45,MATCH($C33,Estoque!$A$6:$A$45,0)),"Código não encontrado"))</f>
        <v>Fornecedor Alfa</v>
      </c>
      <c r="F33" s="18" t="s">
        <v>98</v>
      </c>
      <c r="G33" s="18"/>
      <c r="H33" s="18" t="n">
        <v>2</v>
      </c>
      <c r="I33" s="20" t="n">
        <f aca="false">IF(OR($B33="",$C33=""),"",IF(OR($B33="Retorno de sobra",$B33="Saída de sobra"),IFERROR(VLOOKUP($G33,Listas!$A$2:$B$5,2,FALSE()),0)*IF($H33="",1,$H33),$H33))</f>
        <v>2</v>
      </c>
      <c r="J33" s="21" t="str">
        <f aca="false">IF($C33="","",IF(ISNA(MATCH($C33,Estoque!$A$6:$A$45,0)),"⚠ Código não encontrado",IF(AND(OR($B33="Retorno de sobra",$B33="Saída de sobra"),$G33=""),"⚠ Escolha a medida da sobra",IF(AND(OR($B33="Entrada",$B33="Saída"),$H33=""),"⚠ Informe a quantidade","OK"))))</f>
        <v>OK</v>
      </c>
    </row>
    <row r="34" customFormat="false" ht="15" hidden="false" customHeight="false" outlineLevel="0" collapsed="false">
      <c r="A34" s="22" t="n">
        <v>46297</v>
      </c>
      <c r="B34" s="18" t="s">
        <v>42</v>
      </c>
      <c r="C34" s="18" t="s">
        <v>59</v>
      </c>
      <c r="D34" s="19" t="str">
        <f aca="false">IF($C34="","",IFERROR(INDEX(Estoque!$C$6:$C$45,MATCH($C34,Estoque!$A$6:$A$45,0)),"Código não encontrado"))</f>
        <v>Kit Cinza Claro</v>
      </c>
      <c r="E34" s="19" t="str">
        <f aca="false">IF($C34="","",IFERROR(INDEX(Estoque!$B$6:$B$45,MATCH($C34,Estoque!$A$6:$A$45,0)),"Código não encontrado"))</f>
        <v>Fornecedor Alfa</v>
      </c>
      <c r="F34" s="18" t="s">
        <v>96</v>
      </c>
      <c r="G34" s="18" t="s">
        <v>37</v>
      </c>
      <c r="H34" s="18"/>
      <c r="I34" s="20" t="n">
        <f aca="false">IF(OR($B34="",$C34=""),"",IF(OR($B34="Retorno de sobra",$B34="Saída de sobra"),IFERROR(VLOOKUP($G34,Listas!$A$2:$B$5,2,FALSE()),0)*IF($H34="",1,$H34),$H34))</f>
        <v>0.5</v>
      </c>
      <c r="J34" s="21" t="str">
        <f aca="false">IF($C34="","",IF(ISNA(MATCH($C34,Estoque!$A$6:$A$45,0)),"⚠ Código não encontrado",IF(AND(OR($B34="Retorno de sobra",$B34="Saída de sobra"),$G34=""),"⚠ Escolha a medida da sobra",IF(AND(OR($B34="Entrada",$B34="Saída"),$H34=""),"⚠ Informe a quantidade","OK"))))</f>
        <v>OK</v>
      </c>
    </row>
    <row r="35" customFormat="false" ht="15" hidden="false" customHeight="false" outlineLevel="0" collapsed="false">
      <c r="A35" s="22" t="n">
        <v>46298</v>
      </c>
      <c r="B35" s="18" t="s">
        <v>42</v>
      </c>
      <c r="C35" s="18" t="s">
        <v>59</v>
      </c>
      <c r="D35" s="19" t="str">
        <f aca="false">IF($C35="","",IFERROR(INDEX(Estoque!$C$6:$C$45,MATCH($C35,Estoque!$A$6:$A$45,0)),"Código não encontrado"))</f>
        <v>Kit Cinza Claro</v>
      </c>
      <c r="E35" s="19" t="str">
        <f aca="false">IF($C35="","",IFERROR(INDEX(Estoque!$B$6:$B$45,MATCH($C35,Estoque!$A$6:$A$45,0)),"Código não encontrado"))</f>
        <v>Fornecedor Alfa</v>
      </c>
      <c r="F35" s="18" t="s">
        <v>97</v>
      </c>
      <c r="G35" s="18" t="s">
        <v>33</v>
      </c>
      <c r="H35" s="18"/>
      <c r="I35" s="20" t="n">
        <f aca="false">IF(OR($B35="",$C35=""),"",IF(OR($B35="Retorno de sobra",$B35="Saída de sobra"),IFERROR(VLOOKUP($G35,Listas!$A$2:$B$5,2,FALSE()),0)*IF($H35="",1,$H35),$H35))</f>
        <v>0.25</v>
      </c>
      <c r="J35" s="21" t="str">
        <f aca="false">IF($C35="","",IF(ISNA(MATCH($C35,Estoque!$A$6:$A$45,0)),"⚠ Código não encontrado",IF(AND(OR($B35="Retorno de sobra",$B35="Saída de sobra"),$G35=""),"⚠ Escolha a medida da sobra",IF(AND(OR($B35="Entrada",$B35="Saída"),$H35=""),"⚠ Informe a quantidade","OK"))))</f>
        <v>OK</v>
      </c>
    </row>
    <row r="36" customFormat="false" ht="15" hidden="false" customHeight="false" outlineLevel="0" collapsed="false">
      <c r="A36" s="22" t="n">
        <v>46300</v>
      </c>
      <c r="B36" s="18" t="s">
        <v>42</v>
      </c>
      <c r="C36" s="18" t="s">
        <v>61</v>
      </c>
      <c r="D36" s="19" t="str">
        <f aca="false">IF($C36="","",IFERROR(INDEX(Estoque!$C$6:$C$45,MATCH($C36,Estoque!$A$6:$A$45,0)),"Código não encontrado"))</f>
        <v>Kit Preto</v>
      </c>
      <c r="E36" s="19" t="str">
        <f aca="false">IF($C36="","",IFERROR(INDEX(Estoque!$B$6:$B$45,MATCH($C36,Estoque!$A$6:$A$45,0)),"Código não encontrado"))</f>
        <v>Fornecedor Alfa</v>
      </c>
      <c r="F36" s="18" t="s">
        <v>97</v>
      </c>
      <c r="G36" s="18" t="s">
        <v>33</v>
      </c>
      <c r="H36" s="18"/>
      <c r="I36" s="20" t="n">
        <f aca="false">IF(OR($B36="",$C36=""),"",IF(OR($B36="Retorno de sobra",$B36="Saída de sobra"),IFERROR(VLOOKUP($G36,Listas!$A$2:$B$5,2,FALSE()),0)*IF($H36="",1,$H36),$H36))</f>
        <v>0.25</v>
      </c>
      <c r="J36" s="21" t="str">
        <f aca="false">IF($C36="","",IF(ISNA(MATCH($C36,Estoque!$A$6:$A$45,0)),"⚠ Código não encontrado",IF(AND(OR($B36="Retorno de sobra",$B36="Saída de sobra"),$G36=""),"⚠ Escolha a medida da sobra",IF(AND(OR($B36="Entrada",$B36="Saída"),$H36=""),"⚠ Informe a quantidade","OK"))))</f>
        <v>OK</v>
      </c>
    </row>
    <row r="37" customFormat="false" ht="15" hidden="false" customHeight="false" outlineLevel="0" collapsed="false">
      <c r="A37" s="22" t="n">
        <v>46301</v>
      </c>
      <c r="B37" s="18" t="s">
        <v>44</v>
      </c>
      <c r="C37" s="18" t="s">
        <v>59</v>
      </c>
      <c r="D37" s="19" t="str">
        <f aca="false">IF($C37="","",IFERROR(INDEX(Estoque!$C$6:$C$45,MATCH($C37,Estoque!$A$6:$A$45,0)),"Código não encontrado"))</f>
        <v>Kit Cinza Claro</v>
      </c>
      <c r="E37" s="19" t="str">
        <f aca="false">IF($C37="","",IFERROR(INDEX(Estoque!$B$6:$B$45,MATCH($C37,Estoque!$A$6:$A$45,0)),"Código não encontrado"))</f>
        <v>Fornecedor Alfa</v>
      </c>
      <c r="F37" s="18" t="s">
        <v>98</v>
      </c>
      <c r="G37" s="18" t="s">
        <v>37</v>
      </c>
      <c r="H37" s="18"/>
      <c r="I37" s="20" t="n">
        <f aca="false">IF(OR($B37="",$C37=""),"",IF(OR($B37="Retorno de sobra",$B37="Saída de sobra"),IFERROR(VLOOKUP($G37,Listas!$A$2:$B$5,2,FALSE()),0)*IF($H37="",1,$H37),$H37))</f>
        <v>0.5</v>
      </c>
      <c r="J37" s="21" t="str">
        <f aca="false">IF($C37="","",IF(ISNA(MATCH($C37,Estoque!$A$6:$A$45,0)),"⚠ Código não encontrado",IF(AND(OR($B37="Retorno de sobra",$B37="Saída de sobra"),$G37=""),"⚠ Escolha a medida da sobra",IF(AND(OR($B37="Entrada",$B37="Saída"),$H37=""),"⚠ Informe a quantidade","OK"))))</f>
        <v>OK</v>
      </c>
    </row>
    <row r="38" customFormat="false" ht="15" hidden="false" customHeight="false" outlineLevel="0" collapsed="false">
      <c r="A38" s="22" t="n">
        <v>46302</v>
      </c>
      <c r="B38" s="18" t="s">
        <v>42</v>
      </c>
      <c r="C38" s="18" t="s">
        <v>67</v>
      </c>
      <c r="D38" s="19" t="str">
        <f aca="false">IF($C38="","",IFERROR(INDEX(Estoque!$C$6:$C$45,MATCH($C38,Estoque!$A$6:$A$45,0)),"Código não encontrado"))</f>
        <v>Kit Areia</v>
      </c>
      <c r="E38" s="19" t="str">
        <f aca="false">IF($C38="","",IFERROR(INDEX(Estoque!$B$6:$B$45,MATCH($C38,Estoque!$A$6:$A$45,0)),"Código não encontrado"))</f>
        <v>Fornecedor Beta</v>
      </c>
      <c r="F38" s="18" t="s">
        <v>98</v>
      </c>
      <c r="G38" s="18" t="s">
        <v>41</v>
      </c>
      <c r="H38" s="18"/>
      <c r="I38" s="20" t="n">
        <f aca="false">IF(OR($B38="",$C38=""),"",IF(OR($B38="Retorno de sobra",$B38="Saída de sobra"),IFERROR(VLOOKUP($G38,Listas!$A$2:$B$5,2,FALSE()),0)*IF($H38="",1,$H38),$H38))</f>
        <v>0.75</v>
      </c>
      <c r="J38" s="21" t="str">
        <f aca="false">IF($C38="","",IF(ISNA(MATCH($C38,Estoque!$A$6:$A$45,0)),"⚠ Código não encontrado",IF(AND(OR($B38="Retorno de sobra",$B38="Saída de sobra"),$G38=""),"⚠ Escolha a medida da sobra",IF(AND(OR($B38="Entrada",$B38="Saída"),$H38=""),"⚠ Informe a quantidade","OK"))))</f>
        <v>OK</v>
      </c>
    </row>
    <row r="39" customFormat="false" ht="15" hidden="false" customHeight="false" outlineLevel="0" collapsed="false">
      <c r="A39" s="22" t="n">
        <v>46303</v>
      </c>
      <c r="B39" s="18" t="s">
        <v>42</v>
      </c>
      <c r="C39" s="18" t="s">
        <v>63</v>
      </c>
      <c r="D39" s="19" t="str">
        <f aca="false">IF($C39="","",IFERROR(INDEX(Estoque!$C$6:$C$45,MATCH($C39,Estoque!$A$6:$A$45,0)),"Código não encontrado"))</f>
        <v>Kit Grafite</v>
      </c>
      <c r="E39" s="19" t="str">
        <f aca="false">IF($C39="","",IFERROR(INDEX(Estoque!$B$6:$B$45,MATCH($C39,Estoque!$A$6:$A$45,0)),"Código não encontrado"))</f>
        <v>Fornecedor Alfa</v>
      </c>
      <c r="F39" s="18" t="s">
        <v>96</v>
      </c>
      <c r="G39" s="18" t="s">
        <v>33</v>
      </c>
      <c r="H39" s="18"/>
      <c r="I39" s="20" t="n">
        <f aca="false">IF(OR($B39="",$C39=""),"",IF(OR($B39="Retorno de sobra",$B39="Saída de sobra"),IFERROR(VLOOKUP($G39,Listas!$A$2:$B$5,2,FALSE()),0)*IF($H39="",1,$H39),$H39))</f>
        <v>0.25</v>
      </c>
      <c r="J39" s="21" t="str">
        <f aca="false">IF($C39="","",IF(ISNA(MATCH($C39,Estoque!$A$6:$A$45,0)),"⚠ Código não encontrado",IF(AND(OR($B39="Retorno de sobra",$B39="Saída de sobra"),$G39=""),"⚠ Escolha a medida da sobra",IF(AND(OR($B39="Entrada",$B39="Saída"),$H39=""),"⚠ Informe a quantidade","OK"))))</f>
        <v>OK</v>
      </c>
    </row>
    <row r="40" customFormat="false" ht="15" hidden="false" customHeight="false" outlineLevel="0" collapsed="false">
      <c r="A40" s="22" t="n">
        <v>46304</v>
      </c>
      <c r="B40" s="18" t="s">
        <v>44</v>
      </c>
      <c r="C40" s="18" t="s">
        <v>67</v>
      </c>
      <c r="D40" s="19" t="str">
        <f aca="false">IF($C40="","",IFERROR(INDEX(Estoque!$C$6:$C$45,MATCH($C40,Estoque!$A$6:$A$45,0)),"Código não encontrado"))</f>
        <v>Kit Areia</v>
      </c>
      <c r="E40" s="19" t="str">
        <f aca="false">IF($C40="","",IFERROR(INDEX(Estoque!$B$6:$B$45,MATCH($C40,Estoque!$A$6:$A$45,0)),"Código não encontrado"))</f>
        <v>Fornecedor Beta</v>
      </c>
      <c r="F40" s="18" t="s">
        <v>96</v>
      </c>
      <c r="G40" s="18" t="s">
        <v>33</v>
      </c>
      <c r="H40" s="18"/>
      <c r="I40" s="20" t="n">
        <f aca="false">IF(OR($B40="",$C40=""),"",IF(OR($B40="Retorno de sobra",$B40="Saída de sobra"),IFERROR(VLOOKUP($G40,Listas!$A$2:$B$5,2,FALSE()),0)*IF($H40="",1,$H40),$H40))</f>
        <v>0.25</v>
      </c>
      <c r="J40" s="21" t="str">
        <f aca="false">IF($C40="","",IF(ISNA(MATCH($C40,Estoque!$A$6:$A$45,0)),"⚠ Código não encontrado",IF(AND(OR($B40="Retorno de sobra",$B40="Saída de sobra"),$G40=""),"⚠ Escolha a medida da sobra",IF(AND(OR($B40="Entrada",$B40="Saída"),$H40=""),"⚠ Informe a quantidade","OK"))))</f>
        <v>OK</v>
      </c>
    </row>
    <row r="41" customFormat="false" ht="15" hidden="false" customHeight="false" outlineLevel="0" collapsed="false">
      <c r="A41" s="22"/>
      <c r="B41" s="18"/>
      <c r="C41" s="18"/>
      <c r="D41" s="19" t="str">
        <f aca="false">IF($C41="","",IFERROR(INDEX(Estoque!$C$6:$C$45,MATCH($C41,Estoque!$A$6:$A$45,0)),"Código não encontrado"))</f>
        <v/>
      </c>
      <c r="E41" s="19" t="str">
        <f aca="false">IF($C41="","",IFERROR(INDEX(Estoque!$B$6:$B$45,MATCH($C41,Estoque!$A$6:$A$45,0)),"Código não encontrado"))</f>
        <v/>
      </c>
      <c r="F41" s="18"/>
      <c r="G41" s="18"/>
      <c r="H41" s="18"/>
      <c r="I41" s="20" t="str">
        <f aca="false">IF(OR($B41="",$C41=""),"",IF(OR($B41="Retorno de sobra",$B41="Saída de sobra"),IFERROR(VLOOKUP($G41,Listas!$A$2:$B$5,2,FALSE()),0)*IF($H41="",1,$H41),$H41))</f>
        <v/>
      </c>
      <c r="J41" s="21" t="str">
        <f aca="false">IF($C41="","",IF(ISNA(MATCH($C41,Estoque!$A$6:$A$45,0)),"⚠ Código não encontrado",IF(AND(OR($B41="Retorno de sobra",$B41="Saída de sobra"),$G41=""),"⚠ Escolha a medida da sobra",IF(AND(OR($B41="Entrada",$B41="Saída"),$H41=""),"⚠ Informe a quantidade","OK"))))</f>
        <v/>
      </c>
    </row>
    <row r="42" customFormat="false" ht="15" hidden="false" customHeight="false" outlineLevel="0" collapsed="false">
      <c r="A42" s="22"/>
      <c r="B42" s="18"/>
      <c r="C42" s="18"/>
      <c r="D42" s="19" t="str">
        <f aca="false">IF($C42="","",IFERROR(INDEX(Estoque!$C$6:$C$45,MATCH($C42,Estoque!$A$6:$A$45,0)),"Código não encontrado"))</f>
        <v/>
      </c>
      <c r="E42" s="19" t="str">
        <f aca="false">IF($C42="","",IFERROR(INDEX(Estoque!$B$6:$B$45,MATCH($C42,Estoque!$A$6:$A$45,0)),"Código não encontrado"))</f>
        <v/>
      </c>
      <c r="F42" s="18"/>
      <c r="G42" s="18"/>
      <c r="H42" s="18"/>
      <c r="I42" s="20" t="str">
        <f aca="false">IF(OR($B42="",$C42=""),"",IF(OR($B42="Retorno de sobra",$B42="Saída de sobra"),IFERROR(VLOOKUP($G42,Listas!$A$2:$B$5,2,FALSE()),0)*IF($H42="",1,$H42),$H42))</f>
        <v/>
      </c>
      <c r="J42" s="21" t="str">
        <f aca="false">IF($C42="","",IF(ISNA(MATCH($C42,Estoque!$A$6:$A$45,0)),"⚠ Código não encontrado",IF(AND(OR($B42="Retorno de sobra",$B42="Saída de sobra"),$G42=""),"⚠ Escolha a medida da sobra",IF(AND(OR($B42="Entrada",$B42="Saída"),$H42=""),"⚠ Informe a quantidade","OK"))))</f>
        <v/>
      </c>
    </row>
    <row r="43" customFormat="false" ht="15" hidden="false" customHeight="false" outlineLevel="0" collapsed="false">
      <c r="A43" s="22"/>
      <c r="B43" s="18"/>
      <c r="C43" s="18"/>
      <c r="D43" s="19" t="str">
        <f aca="false">IF($C43="","",IFERROR(INDEX(Estoque!$C$6:$C$45,MATCH($C43,Estoque!$A$6:$A$45,0)),"Código não encontrado"))</f>
        <v/>
      </c>
      <c r="E43" s="19" t="str">
        <f aca="false">IF($C43="","",IFERROR(INDEX(Estoque!$B$6:$B$45,MATCH($C43,Estoque!$A$6:$A$45,0)),"Código não encontrado"))</f>
        <v/>
      </c>
      <c r="F43" s="18"/>
      <c r="G43" s="18"/>
      <c r="H43" s="18"/>
      <c r="I43" s="20" t="str">
        <f aca="false">IF(OR($B43="",$C43=""),"",IF(OR($B43="Retorno de sobra",$B43="Saída de sobra"),IFERROR(VLOOKUP($G43,Listas!$A$2:$B$5,2,FALSE()),0)*IF($H43="",1,$H43),$H43))</f>
        <v/>
      </c>
      <c r="J43" s="21" t="str">
        <f aca="false">IF($C43="","",IF(ISNA(MATCH($C43,Estoque!$A$6:$A$45,0)),"⚠ Código não encontrado",IF(AND(OR($B43="Retorno de sobra",$B43="Saída de sobra"),$G43=""),"⚠ Escolha a medida da sobra",IF(AND(OR($B43="Entrada",$B43="Saída"),$H43=""),"⚠ Informe a quantidade","OK"))))</f>
        <v/>
      </c>
    </row>
    <row r="44" customFormat="false" ht="15" hidden="false" customHeight="false" outlineLevel="0" collapsed="false">
      <c r="A44" s="22"/>
      <c r="B44" s="18"/>
      <c r="C44" s="18"/>
      <c r="D44" s="19" t="str">
        <f aca="false">IF($C44="","",IFERROR(INDEX(Estoque!$C$6:$C$45,MATCH($C44,Estoque!$A$6:$A$45,0)),"Código não encontrado"))</f>
        <v/>
      </c>
      <c r="E44" s="19" t="str">
        <f aca="false">IF($C44="","",IFERROR(INDEX(Estoque!$B$6:$B$45,MATCH($C44,Estoque!$A$6:$A$45,0)),"Código não encontrado"))</f>
        <v/>
      </c>
      <c r="F44" s="18"/>
      <c r="G44" s="18"/>
      <c r="H44" s="18"/>
      <c r="I44" s="20" t="str">
        <f aca="false">IF(OR($B44="",$C44=""),"",IF(OR($B44="Retorno de sobra",$B44="Saída de sobra"),IFERROR(VLOOKUP($G44,Listas!$A$2:$B$5,2,FALSE()),0)*IF($H44="",1,$H44),$H44))</f>
        <v/>
      </c>
      <c r="J44" s="21" t="str">
        <f aca="false">IF($C44="","",IF(ISNA(MATCH($C44,Estoque!$A$6:$A$45,0)),"⚠ Código não encontrado",IF(AND(OR($B44="Retorno de sobra",$B44="Saída de sobra"),$G44=""),"⚠ Escolha a medida da sobra",IF(AND(OR($B44="Entrada",$B44="Saída"),$H44=""),"⚠ Informe a quantidade","OK"))))</f>
        <v/>
      </c>
    </row>
    <row r="45" customFormat="false" ht="15" hidden="false" customHeight="false" outlineLevel="0" collapsed="false">
      <c r="A45" s="22"/>
      <c r="B45" s="18"/>
      <c r="C45" s="18"/>
      <c r="D45" s="19" t="str">
        <f aca="false">IF($C45="","",IFERROR(INDEX(Estoque!$C$6:$C$45,MATCH($C45,Estoque!$A$6:$A$45,0)),"Código não encontrado"))</f>
        <v/>
      </c>
      <c r="E45" s="19" t="str">
        <f aca="false">IF($C45="","",IFERROR(INDEX(Estoque!$B$6:$B$45,MATCH($C45,Estoque!$A$6:$A$45,0)),"Código não encontrado"))</f>
        <v/>
      </c>
      <c r="F45" s="18"/>
      <c r="G45" s="18"/>
      <c r="H45" s="18"/>
      <c r="I45" s="20" t="str">
        <f aca="false">IF(OR($B45="",$C45=""),"",IF(OR($B45="Retorno de sobra",$B45="Saída de sobra"),IFERROR(VLOOKUP($G45,Listas!$A$2:$B$5,2,FALSE()),0)*IF($H45="",1,$H45),$H45))</f>
        <v/>
      </c>
      <c r="J45" s="21" t="str">
        <f aca="false">IF($C45="","",IF(ISNA(MATCH($C45,Estoque!$A$6:$A$45,0)),"⚠ Código não encontrado",IF(AND(OR($B45="Retorno de sobra",$B45="Saída de sobra"),$G45=""),"⚠ Escolha a medida da sobra",IF(AND(OR($B45="Entrada",$B45="Saída"),$H45=""),"⚠ Informe a quantidade","OK"))))</f>
        <v/>
      </c>
    </row>
    <row r="46" customFormat="false" ht="15" hidden="false" customHeight="false" outlineLevel="0" collapsed="false">
      <c r="A46" s="22"/>
      <c r="B46" s="18"/>
      <c r="C46" s="18"/>
      <c r="D46" s="19" t="str">
        <f aca="false">IF($C46="","",IFERROR(INDEX(Estoque!$C$6:$C$45,MATCH($C46,Estoque!$A$6:$A$45,0)),"Código não encontrado"))</f>
        <v/>
      </c>
      <c r="E46" s="19" t="str">
        <f aca="false">IF($C46="","",IFERROR(INDEX(Estoque!$B$6:$B$45,MATCH($C46,Estoque!$A$6:$A$45,0)),"Código não encontrado"))</f>
        <v/>
      </c>
      <c r="F46" s="18"/>
      <c r="G46" s="18"/>
      <c r="H46" s="18"/>
      <c r="I46" s="20" t="str">
        <f aca="false">IF(OR($B46="",$C46=""),"",IF(OR($B46="Retorno de sobra",$B46="Saída de sobra"),IFERROR(VLOOKUP($G46,Listas!$A$2:$B$5,2,FALSE()),0)*IF($H46="",1,$H46),$H46))</f>
        <v/>
      </c>
      <c r="J46" s="21" t="str">
        <f aca="false">IF($C46="","",IF(ISNA(MATCH($C46,Estoque!$A$6:$A$45,0)),"⚠ Código não encontrado",IF(AND(OR($B46="Retorno de sobra",$B46="Saída de sobra"),$G46=""),"⚠ Escolha a medida da sobra",IF(AND(OR($B46="Entrada",$B46="Saída"),$H46=""),"⚠ Informe a quantidade","OK"))))</f>
        <v/>
      </c>
    </row>
    <row r="47" customFormat="false" ht="15" hidden="false" customHeight="false" outlineLevel="0" collapsed="false">
      <c r="A47" s="22"/>
      <c r="B47" s="18"/>
      <c r="C47" s="18"/>
      <c r="D47" s="19" t="str">
        <f aca="false">IF($C47="","",IFERROR(INDEX(Estoque!$C$6:$C$45,MATCH($C47,Estoque!$A$6:$A$45,0)),"Código não encontrado"))</f>
        <v/>
      </c>
      <c r="E47" s="19" t="str">
        <f aca="false">IF($C47="","",IFERROR(INDEX(Estoque!$B$6:$B$45,MATCH($C47,Estoque!$A$6:$A$45,0)),"Código não encontrado"))</f>
        <v/>
      </c>
      <c r="F47" s="18"/>
      <c r="G47" s="18"/>
      <c r="H47" s="18"/>
      <c r="I47" s="20" t="str">
        <f aca="false">IF(OR($B47="",$C47=""),"",IF(OR($B47="Retorno de sobra",$B47="Saída de sobra"),IFERROR(VLOOKUP($G47,Listas!$A$2:$B$5,2,FALSE()),0)*IF($H47="",1,$H47),$H47))</f>
        <v/>
      </c>
      <c r="J47" s="21" t="str">
        <f aca="false">IF($C47="","",IF(ISNA(MATCH($C47,Estoque!$A$6:$A$45,0)),"⚠ Código não encontrado",IF(AND(OR($B47="Retorno de sobra",$B47="Saída de sobra"),$G47=""),"⚠ Escolha a medida da sobra",IF(AND(OR($B47="Entrada",$B47="Saída"),$H47=""),"⚠ Informe a quantidade","OK"))))</f>
        <v/>
      </c>
    </row>
    <row r="48" customFormat="false" ht="15" hidden="false" customHeight="false" outlineLevel="0" collapsed="false">
      <c r="A48" s="22"/>
      <c r="B48" s="18"/>
      <c r="C48" s="18"/>
      <c r="D48" s="19" t="str">
        <f aca="false">IF($C48="","",IFERROR(INDEX(Estoque!$C$6:$C$45,MATCH($C48,Estoque!$A$6:$A$45,0)),"Código não encontrado"))</f>
        <v/>
      </c>
      <c r="E48" s="19" t="str">
        <f aca="false">IF($C48="","",IFERROR(INDEX(Estoque!$B$6:$B$45,MATCH($C48,Estoque!$A$6:$A$45,0)),"Código não encontrado"))</f>
        <v/>
      </c>
      <c r="F48" s="18"/>
      <c r="G48" s="18"/>
      <c r="H48" s="18"/>
      <c r="I48" s="20" t="str">
        <f aca="false">IF(OR($B48="",$C48=""),"",IF(OR($B48="Retorno de sobra",$B48="Saída de sobra"),IFERROR(VLOOKUP($G48,Listas!$A$2:$B$5,2,FALSE()),0)*IF($H48="",1,$H48),$H48))</f>
        <v/>
      </c>
      <c r="J48" s="21" t="str">
        <f aca="false">IF($C48="","",IF(ISNA(MATCH($C48,Estoque!$A$6:$A$45,0)),"⚠ Código não encontrado",IF(AND(OR($B48="Retorno de sobra",$B48="Saída de sobra"),$G48=""),"⚠ Escolha a medida da sobra",IF(AND(OR($B48="Entrada",$B48="Saída"),$H48=""),"⚠ Informe a quantidade","OK"))))</f>
        <v/>
      </c>
    </row>
    <row r="49" customFormat="false" ht="15" hidden="false" customHeight="false" outlineLevel="0" collapsed="false">
      <c r="A49" s="22"/>
      <c r="B49" s="18"/>
      <c r="C49" s="18"/>
      <c r="D49" s="19" t="str">
        <f aca="false">IF($C49="","",IFERROR(INDEX(Estoque!$C$6:$C$45,MATCH($C49,Estoque!$A$6:$A$45,0)),"Código não encontrado"))</f>
        <v/>
      </c>
      <c r="E49" s="19" t="str">
        <f aca="false">IF($C49="","",IFERROR(INDEX(Estoque!$B$6:$B$45,MATCH($C49,Estoque!$A$6:$A$45,0)),"Código não encontrado"))</f>
        <v/>
      </c>
      <c r="F49" s="18"/>
      <c r="G49" s="18"/>
      <c r="H49" s="18"/>
      <c r="I49" s="20" t="str">
        <f aca="false">IF(OR($B49="",$C49=""),"",IF(OR($B49="Retorno de sobra",$B49="Saída de sobra"),IFERROR(VLOOKUP($G49,Listas!$A$2:$B$5,2,FALSE()),0)*IF($H49="",1,$H49),$H49))</f>
        <v/>
      </c>
      <c r="J49" s="21" t="str">
        <f aca="false">IF($C49="","",IF(ISNA(MATCH($C49,Estoque!$A$6:$A$45,0)),"⚠ Código não encontrado",IF(AND(OR($B49="Retorno de sobra",$B49="Saída de sobra"),$G49=""),"⚠ Escolha a medida da sobra",IF(AND(OR($B49="Entrada",$B49="Saída"),$H49=""),"⚠ Informe a quantidade","OK"))))</f>
        <v/>
      </c>
    </row>
    <row r="50" customFormat="false" ht="15" hidden="false" customHeight="false" outlineLevel="0" collapsed="false">
      <c r="A50" s="22"/>
      <c r="B50" s="18"/>
      <c r="C50" s="18"/>
      <c r="D50" s="19" t="str">
        <f aca="false">IF($C50="","",IFERROR(INDEX(Estoque!$C$6:$C$45,MATCH($C50,Estoque!$A$6:$A$45,0)),"Código não encontrado"))</f>
        <v/>
      </c>
      <c r="E50" s="19" t="str">
        <f aca="false">IF($C50="","",IFERROR(INDEX(Estoque!$B$6:$B$45,MATCH($C50,Estoque!$A$6:$A$45,0)),"Código não encontrado"))</f>
        <v/>
      </c>
      <c r="F50" s="18"/>
      <c r="G50" s="18"/>
      <c r="H50" s="18"/>
      <c r="I50" s="20" t="str">
        <f aca="false">IF(OR($B50="",$C50=""),"",IF(OR($B50="Retorno de sobra",$B50="Saída de sobra"),IFERROR(VLOOKUP($G50,Listas!$A$2:$B$5,2,FALSE()),0)*IF($H50="",1,$H50),$H50))</f>
        <v/>
      </c>
      <c r="J50" s="21" t="str">
        <f aca="false">IF($C50="","",IF(ISNA(MATCH($C50,Estoque!$A$6:$A$45,0)),"⚠ Código não encontrado",IF(AND(OR($B50="Retorno de sobra",$B50="Saída de sobra"),$G50=""),"⚠ Escolha a medida da sobra",IF(AND(OR($B50="Entrada",$B50="Saída"),$H50=""),"⚠ Informe a quantidade","OK"))))</f>
        <v/>
      </c>
    </row>
    <row r="51" customFormat="false" ht="15" hidden="false" customHeight="false" outlineLevel="0" collapsed="false">
      <c r="A51" s="22"/>
      <c r="B51" s="18"/>
      <c r="C51" s="18"/>
      <c r="D51" s="19" t="str">
        <f aca="false">IF($C51="","",IFERROR(INDEX(Estoque!$C$6:$C$45,MATCH($C51,Estoque!$A$6:$A$45,0)),"Código não encontrado"))</f>
        <v/>
      </c>
      <c r="E51" s="19" t="str">
        <f aca="false">IF($C51="","",IFERROR(INDEX(Estoque!$B$6:$B$45,MATCH($C51,Estoque!$A$6:$A$45,0)),"Código não encontrado"))</f>
        <v/>
      </c>
      <c r="F51" s="18"/>
      <c r="G51" s="18"/>
      <c r="H51" s="18"/>
      <c r="I51" s="20" t="str">
        <f aca="false">IF(OR($B51="",$C51=""),"",IF(OR($B51="Retorno de sobra",$B51="Saída de sobra"),IFERROR(VLOOKUP($G51,Listas!$A$2:$B$5,2,FALSE()),0)*IF($H51="",1,$H51),$H51))</f>
        <v/>
      </c>
      <c r="J51" s="21" t="str">
        <f aca="false">IF($C51="","",IF(ISNA(MATCH($C51,Estoque!$A$6:$A$45,0)),"⚠ Código não encontrado",IF(AND(OR($B51="Retorno de sobra",$B51="Saída de sobra"),$G51=""),"⚠ Escolha a medida da sobra",IF(AND(OR($B51="Entrada",$B51="Saída"),$H51=""),"⚠ Informe a quantidade","OK"))))</f>
        <v/>
      </c>
    </row>
    <row r="52" customFormat="false" ht="15" hidden="false" customHeight="false" outlineLevel="0" collapsed="false">
      <c r="A52" s="22"/>
      <c r="B52" s="18"/>
      <c r="C52" s="18"/>
      <c r="D52" s="19" t="str">
        <f aca="false">IF($C52="","",IFERROR(INDEX(Estoque!$C$6:$C$45,MATCH($C52,Estoque!$A$6:$A$45,0)),"Código não encontrado"))</f>
        <v/>
      </c>
      <c r="E52" s="19" t="str">
        <f aca="false">IF($C52="","",IFERROR(INDEX(Estoque!$B$6:$B$45,MATCH($C52,Estoque!$A$6:$A$45,0)),"Código não encontrado"))</f>
        <v/>
      </c>
      <c r="F52" s="18"/>
      <c r="G52" s="18"/>
      <c r="H52" s="18"/>
      <c r="I52" s="20" t="str">
        <f aca="false">IF(OR($B52="",$C52=""),"",IF(OR($B52="Retorno de sobra",$B52="Saída de sobra"),IFERROR(VLOOKUP($G52,Listas!$A$2:$B$5,2,FALSE()),0)*IF($H52="",1,$H52),$H52))</f>
        <v/>
      </c>
      <c r="J52" s="21" t="str">
        <f aca="false">IF($C52="","",IF(ISNA(MATCH($C52,Estoque!$A$6:$A$45,0)),"⚠ Código não encontrado",IF(AND(OR($B52="Retorno de sobra",$B52="Saída de sobra"),$G52=""),"⚠ Escolha a medida da sobra",IF(AND(OR($B52="Entrada",$B52="Saída"),$H52=""),"⚠ Informe a quantidade","OK"))))</f>
        <v/>
      </c>
    </row>
    <row r="53" customFormat="false" ht="15" hidden="false" customHeight="false" outlineLevel="0" collapsed="false">
      <c r="A53" s="22"/>
      <c r="B53" s="18"/>
      <c r="C53" s="18"/>
      <c r="D53" s="19" t="str">
        <f aca="false">IF($C53="","",IFERROR(INDEX(Estoque!$C$6:$C$45,MATCH($C53,Estoque!$A$6:$A$45,0)),"Código não encontrado"))</f>
        <v/>
      </c>
      <c r="E53" s="19" t="str">
        <f aca="false">IF($C53="","",IFERROR(INDEX(Estoque!$B$6:$B$45,MATCH($C53,Estoque!$A$6:$A$45,0)),"Código não encontrado"))</f>
        <v/>
      </c>
      <c r="F53" s="18"/>
      <c r="G53" s="18"/>
      <c r="H53" s="18"/>
      <c r="I53" s="20" t="str">
        <f aca="false">IF(OR($B53="",$C53=""),"",IF(OR($B53="Retorno de sobra",$B53="Saída de sobra"),IFERROR(VLOOKUP($G53,Listas!$A$2:$B$5,2,FALSE()),0)*IF($H53="",1,$H53),$H53))</f>
        <v/>
      </c>
      <c r="J53" s="21" t="str">
        <f aca="false">IF($C53="","",IF(ISNA(MATCH($C53,Estoque!$A$6:$A$45,0)),"⚠ Código não encontrado",IF(AND(OR($B53="Retorno de sobra",$B53="Saída de sobra"),$G53=""),"⚠ Escolha a medida da sobra",IF(AND(OR($B53="Entrada",$B53="Saída"),$H53=""),"⚠ Informe a quantidade","OK"))))</f>
        <v/>
      </c>
    </row>
    <row r="54" customFormat="false" ht="15" hidden="false" customHeight="false" outlineLevel="0" collapsed="false">
      <c r="A54" s="22"/>
      <c r="B54" s="18"/>
      <c r="C54" s="18"/>
      <c r="D54" s="19" t="str">
        <f aca="false">IF($C54="","",IFERROR(INDEX(Estoque!$C$6:$C$45,MATCH($C54,Estoque!$A$6:$A$45,0)),"Código não encontrado"))</f>
        <v/>
      </c>
      <c r="E54" s="19" t="str">
        <f aca="false">IF($C54="","",IFERROR(INDEX(Estoque!$B$6:$B$45,MATCH($C54,Estoque!$A$6:$A$45,0)),"Código não encontrado"))</f>
        <v/>
      </c>
      <c r="F54" s="18"/>
      <c r="G54" s="18"/>
      <c r="H54" s="18"/>
      <c r="I54" s="20" t="str">
        <f aca="false">IF(OR($B54="",$C54=""),"",IF(OR($B54="Retorno de sobra",$B54="Saída de sobra"),IFERROR(VLOOKUP($G54,Listas!$A$2:$B$5,2,FALSE()),0)*IF($H54="",1,$H54),$H54))</f>
        <v/>
      </c>
      <c r="J54" s="21" t="str">
        <f aca="false">IF($C54="","",IF(ISNA(MATCH($C54,Estoque!$A$6:$A$45,0)),"⚠ Código não encontrado",IF(AND(OR($B54="Retorno de sobra",$B54="Saída de sobra"),$G54=""),"⚠ Escolha a medida da sobra",IF(AND(OR($B54="Entrada",$B54="Saída"),$H54=""),"⚠ Informe a quantidade","OK"))))</f>
        <v/>
      </c>
    </row>
    <row r="55" customFormat="false" ht="15" hidden="false" customHeight="false" outlineLevel="0" collapsed="false">
      <c r="A55" s="22"/>
      <c r="B55" s="18"/>
      <c r="C55" s="18"/>
      <c r="D55" s="19" t="str">
        <f aca="false">IF($C55="","",IFERROR(INDEX(Estoque!$C$6:$C$45,MATCH($C55,Estoque!$A$6:$A$45,0)),"Código não encontrado"))</f>
        <v/>
      </c>
      <c r="E55" s="19" t="str">
        <f aca="false">IF($C55="","",IFERROR(INDEX(Estoque!$B$6:$B$45,MATCH($C55,Estoque!$A$6:$A$45,0)),"Código não encontrado"))</f>
        <v/>
      </c>
      <c r="F55" s="18"/>
      <c r="G55" s="18"/>
      <c r="H55" s="18"/>
      <c r="I55" s="20" t="str">
        <f aca="false">IF(OR($B55="",$C55=""),"",IF(OR($B55="Retorno de sobra",$B55="Saída de sobra"),IFERROR(VLOOKUP($G55,Listas!$A$2:$B$5,2,FALSE()),0)*IF($H55="",1,$H55),$H55))</f>
        <v/>
      </c>
      <c r="J55" s="21" t="str">
        <f aca="false">IF($C55="","",IF(ISNA(MATCH($C55,Estoque!$A$6:$A$45,0)),"⚠ Código não encontrado",IF(AND(OR($B55="Retorno de sobra",$B55="Saída de sobra"),$G55=""),"⚠ Escolha a medida da sobra",IF(AND(OR($B55="Entrada",$B55="Saída"),$H55=""),"⚠ Informe a quantidade","OK"))))</f>
        <v/>
      </c>
    </row>
    <row r="56" customFormat="false" ht="15" hidden="false" customHeight="false" outlineLevel="0" collapsed="false">
      <c r="A56" s="22"/>
      <c r="B56" s="18"/>
      <c r="C56" s="18"/>
      <c r="D56" s="19" t="str">
        <f aca="false">IF($C56="","",IFERROR(INDEX(Estoque!$C$6:$C$45,MATCH($C56,Estoque!$A$6:$A$45,0)),"Código não encontrado"))</f>
        <v/>
      </c>
      <c r="E56" s="19" t="str">
        <f aca="false">IF($C56="","",IFERROR(INDEX(Estoque!$B$6:$B$45,MATCH($C56,Estoque!$A$6:$A$45,0)),"Código não encontrado"))</f>
        <v/>
      </c>
      <c r="F56" s="18"/>
      <c r="G56" s="18"/>
      <c r="H56" s="18"/>
      <c r="I56" s="20" t="str">
        <f aca="false">IF(OR($B56="",$C56=""),"",IF(OR($B56="Retorno de sobra",$B56="Saída de sobra"),IFERROR(VLOOKUP($G56,Listas!$A$2:$B$5,2,FALSE()),0)*IF($H56="",1,$H56),$H56))</f>
        <v/>
      </c>
      <c r="J56" s="21" t="str">
        <f aca="false">IF($C56="","",IF(ISNA(MATCH($C56,Estoque!$A$6:$A$45,0)),"⚠ Código não encontrado",IF(AND(OR($B56="Retorno de sobra",$B56="Saída de sobra"),$G56=""),"⚠ Escolha a medida da sobra",IF(AND(OR($B56="Entrada",$B56="Saída"),$H56=""),"⚠ Informe a quantidade","OK"))))</f>
        <v/>
      </c>
    </row>
    <row r="57" customFormat="false" ht="15" hidden="false" customHeight="false" outlineLevel="0" collapsed="false">
      <c r="A57" s="22"/>
      <c r="B57" s="18"/>
      <c r="C57" s="18"/>
      <c r="D57" s="19" t="str">
        <f aca="false">IF($C57="","",IFERROR(INDEX(Estoque!$C$6:$C$45,MATCH($C57,Estoque!$A$6:$A$45,0)),"Código não encontrado"))</f>
        <v/>
      </c>
      <c r="E57" s="19" t="str">
        <f aca="false">IF($C57="","",IFERROR(INDEX(Estoque!$B$6:$B$45,MATCH($C57,Estoque!$A$6:$A$45,0)),"Código não encontrado"))</f>
        <v/>
      </c>
      <c r="F57" s="18"/>
      <c r="G57" s="18"/>
      <c r="H57" s="18"/>
      <c r="I57" s="20" t="str">
        <f aca="false">IF(OR($B57="",$C57=""),"",IF(OR($B57="Retorno de sobra",$B57="Saída de sobra"),IFERROR(VLOOKUP($G57,Listas!$A$2:$B$5,2,FALSE()),0)*IF($H57="",1,$H57),$H57))</f>
        <v/>
      </c>
      <c r="J57" s="21" t="str">
        <f aca="false">IF($C57="","",IF(ISNA(MATCH($C57,Estoque!$A$6:$A$45,0)),"⚠ Código não encontrado",IF(AND(OR($B57="Retorno de sobra",$B57="Saída de sobra"),$G57=""),"⚠ Escolha a medida da sobra",IF(AND(OR($B57="Entrada",$B57="Saída"),$H57=""),"⚠ Informe a quantidade","OK"))))</f>
        <v/>
      </c>
    </row>
    <row r="58" customFormat="false" ht="15" hidden="false" customHeight="false" outlineLevel="0" collapsed="false">
      <c r="A58" s="22"/>
      <c r="B58" s="18"/>
      <c r="C58" s="18"/>
      <c r="D58" s="19" t="str">
        <f aca="false">IF($C58="","",IFERROR(INDEX(Estoque!$C$6:$C$45,MATCH($C58,Estoque!$A$6:$A$45,0)),"Código não encontrado"))</f>
        <v/>
      </c>
      <c r="E58" s="19" t="str">
        <f aca="false">IF($C58="","",IFERROR(INDEX(Estoque!$B$6:$B$45,MATCH($C58,Estoque!$A$6:$A$45,0)),"Código não encontrado"))</f>
        <v/>
      </c>
      <c r="F58" s="18"/>
      <c r="G58" s="18"/>
      <c r="H58" s="18"/>
      <c r="I58" s="20" t="str">
        <f aca="false">IF(OR($B58="",$C58=""),"",IF(OR($B58="Retorno de sobra",$B58="Saída de sobra"),IFERROR(VLOOKUP($G58,Listas!$A$2:$B$5,2,FALSE()),0)*IF($H58="",1,$H58),$H58))</f>
        <v/>
      </c>
      <c r="J58" s="21" t="str">
        <f aca="false">IF($C58="","",IF(ISNA(MATCH($C58,Estoque!$A$6:$A$45,0)),"⚠ Código não encontrado",IF(AND(OR($B58="Retorno de sobra",$B58="Saída de sobra"),$G58=""),"⚠ Escolha a medida da sobra",IF(AND(OR($B58="Entrada",$B58="Saída"),$H58=""),"⚠ Informe a quantidade","OK"))))</f>
        <v/>
      </c>
    </row>
    <row r="59" customFormat="false" ht="15" hidden="false" customHeight="false" outlineLevel="0" collapsed="false">
      <c r="A59" s="22"/>
      <c r="B59" s="18"/>
      <c r="C59" s="18"/>
      <c r="D59" s="19" t="str">
        <f aca="false">IF($C59="","",IFERROR(INDEX(Estoque!$C$6:$C$45,MATCH($C59,Estoque!$A$6:$A$45,0)),"Código não encontrado"))</f>
        <v/>
      </c>
      <c r="E59" s="19" t="str">
        <f aca="false">IF($C59="","",IFERROR(INDEX(Estoque!$B$6:$B$45,MATCH($C59,Estoque!$A$6:$A$45,0)),"Código não encontrado"))</f>
        <v/>
      </c>
      <c r="F59" s="18"/>
      <c r="G59" s="18"/>
      <c r="H59" s="18"/>
      <c r="I59" s="20" t="str">
        <f aca="false">IF(OR($B59="",$C59=""),"",IF(OR($B59="Retorno de sobra",$B59="Saída de sobra"),IFERROR(VLOOKUP($G59,Listas!$A$2:$B$5,2,FALSE()),0)*IF($H59="",1,$H59),$H59))</f>
        <v/>
      </c>
      <c r="J59" s="21" t="str">
        <f aca="false">IF($C59="","",IF(ISNA(MATCH($C59,Estoque!$A$6:$A$45,0)),"⚠ Código não encontrado",IF(AND(OR($B59="Retorno de sobra",$B59="Saída de sobra"),$G59=""),"⚠ Escolha a medida da sobra",IF(AND(OR($B59="Entrada",$B59="Saída"),$H59=""),"⚠ Informe a quantidade","OK"))))</f>
        <v/>
      </c>
    </row>
    <row r="60" customFormat="false" ht="15" hidden="false" customHeight="false" outlineLevel="0" collapsed="false">
      <c r="A60" s="22"/>
      <c r="B60" s="18"/>
      <c r="C60" s="18"/>
      <c r="D60" s="19" t="str">
        <f aca="false">IF($C60="","",IFERROR(INDEX(Estoque!$C$6:$C$45,MATCH($C60,Estoque!$A$6:$A$45,0)),"Código não encontrado"))</f>
        <v/>
      </c>
      <c r="E60" s="19" t="str">
        <f aca="false">IF($C60="","",IFERROR(INDEX(Estoque!$B$6:$B$45,MATCH($C60,Estoque!$A$6:$A$45,0)),"Código não encontrado"))</f>
        <v/>
      </c>
      <c r="F60" s="18"/>
      <c r="G60" s="18"/>
      <c r="H60" s="18"/>
      <c r="I60" s="20" t="str">
        <f aca="false">IF(OR($B60="",$C60=""),"",IF(OR($B60="Retorno de sobra",$B60="Saída de sobra"),IFERROR(VLOOKUP($G60,Listas!$A$2:$B$5,2,FALSE()),0)*IF($H60="",1,$H60),$H60))</f>
        <v/>
      </c>
      <c r="J60" s="21" t="str">
        <f aca="false">IF($C60="","",IF(ISNA(MATCH($C60,Estoque!$A$6:$A$45,0)),"⚠ Código não encontrado",IF(AND(OR($B60="Retorno de sobra",$B60="Saída de sobra"),$G60=""),"⚠ Escolha a medida da sobra",IF(AND(OR($B60="Entrada",$B60="Saída"),$H60=""),"⚠ Informe a quantidade","OK"))))</f>
        <v/>
      </c>
    </row>
    <row r="61" customFormat="false" ht="15" hidden="false" customHeight="false" outlineLevel="0" collapsed="false">
      <c r="A61" s="22"/>
      <c r="B61" s="18"/>
      <c r="C61" s="18"/>
      <c r="D61" s="19" t="str">
        <f aca="false">IF($C61="","",IFERROR(INDEX(Estoque!$C$6:$C$45,MATCH($C61,Estoque!$A$6:$A$45,0)),"Código não encontrado"))</f>
        <v/>
      </c>
      <c r="E61" s="19" t="str">
        <f aca="false">IF($C61="","",IFERROR(INDEX(Estoque!$B$6:$B$45,MATCH($C61,Estoque!$A$6:$A$45,0)),"Código não encontrado"))</f>
        <v/>
      </c>
      <c r="F61" s="18"/>
      <c r="G61" s="18"/>
      <c r="H61" s="18"/>
      <c r="I61" s="20" t="str">
        <f aca="false">IF(OR($B61="",$C61=""),"",IF(OR($B61="Retorno de sobra",$B61="Saída de sobra"),IFERROR(VLOOKUP($G61,Listas!$A$2:$B$5,2,FALSE()),0)*IF($H61="",1,$H61),$H61))</f>
        <v/>
      </c>
      <c r="J61" s="21" t="str">
        <f aca="false">IF($C61="","",IF(ISNA(MATCH($C61,Estoque!$A$6:$A$45,0)),"⚠ Código não encontrado",IF(AND(OR($B61="Retorno de sobra",$B61="Saída de sobra"),$G61=""),"⚠ Escolha a medida da sobra",IF(AND(OR($B61="Entrada",$B61="Saída"),$H61=""),"⚠ Informe a quantidade","OK"))))</f>
        <v/>
      </c>
    </row>
    <row r="62" customFormat="false" ht="15" hidden="false" customHeight="false" outlineLevel="0" collapsed="false">
      <c r="A62" s="22"/>
      <c r="B62" s="18"/>
      <c r="C62" s="18"/>
      <c r="D62" s="19" t="str">
        <f aca="false">IF($C62="","",IFERROR(INDEX(Estoque!$C$6:$C$45,MATCH($C62,Estoque!$A$6:$A$45,0)),"Código não encontrado"))</f>
        <v/>
      </c>
      <c r="E62" s="19" t="str">
        <f aca="false">IF($C62="","",IFERROR(INDEX(Estoque!$B$6:$B$45,MATCH($C62,Estoque!$A$6:$A$45,0)),"Código não encontrado"))</f>
        <v/>
      </c>
      <c r="F62" s="18"/>
      <c r="G62" s="18"/>
      <c r="H62" s="18"/>
      <c r="I62" s="20" t="str">
        <f aca="false">IF(OR($B62="",$C62=""),"",IF(OR($B62="Retorno de sobra",$B62="Saída de sobra"),IFERROR(VLOOKUP($G62,Listas!$A$2:$B$5,2,FALSE()),0)*IF($H62="",1,$H62),$H62))</f>
        <v/>
      </c>
      <c r="J62" s="21" t="str">
        <f aca="false">IF($C62="","",IF(ISNA(MATCH($C62,Estoque!$A$6:$A$45,0)),"⚠ Código não encontrado",IF(AND(OR($B62="Retorno de sobra",$B62="Saída de sobra"),$G62=""),"⚠ Escolha a medida da sobra",IF(AND(OR($B62="Entrada",$B62="Saída"),$H62=""),"⚠ Informe a quantidade","OK"))))</f>
        <v/>
      </c>
    </row>
    <row r="63" customFormat="false" ht="15" hidden="false" customHeight="false" outlineLevel="0" collapsed="false">
      <c r="A63" s="22"/>
      <c r="B63" s="18"/>
      <c r="C63" s="18"/>
      <c r="D63" s="19" t="str">
        <f aca="false">IF($C63="","",IFERROR(INDEX(Estoque!$C$6:$C$45,MATCH($C63,Estoque!$A$6:$A$45,0)),"Código não encontrado"))</f>
        <v/>
      </c>
      <c r="E63" s="19" t="str">
        <f aca="false">IF($C63="","",IFERROR(INDEX(Estoque!$B$6:$B$45,MATCH($C63,Estoque!$A$6:$A$45,0)),"Código não encontrado"))</f>
        <v/>
      </c>
      <c r="F63" s="18"/>
      <c r="G63" s="18"/>
      <c r="H63" s="18"/>
      <c r="I63" s="20" t="str">
        <f aca="false">IF(OR($B63="",$C63=""),"",IF(OR($B63="Retorno de sobra",$B63="Saída de sobra"),IFERROR(VLOOKUP($G63,Listas!$A$2:$B$5,2,FALSE()),0)*IF($H63="",1,$H63),$H63))</f>
        <v/>
      </c>
      <c r="J63" s="21" t="str">
        <f aca="false">IF($C63="","",IF(ISNA(MATCH($C63,Estoque!$A$6:$A$45,0)),"⚠ Código não encontrado",IF(AND(OR($B63="Retorno de sobra",$B63="Saída de sobra"),$G63=""),"⚠ Escolha a medida da sobra",IF(AND(OR($B63="Entrada",$B63="Saída"),$H63=""),"⚠ Informe a quantidade","OK"))))</f>
        <v/>
      </c>
    </row>
    <row r="64" customFormat="false" ht="15" hidden="false" customHeight="false" outlineLevel="0" collapsed="false">
      <c r="A64" s="22"/>
      <c r="B64" s="18"/>
      <c r="C64" s="18"/>
      <c r="D64" s="19" t="str">
        <f aca="false">IF($C64="","",IFERROR(INDEX(Estoque!$C$6:$C$45,MATCH($C64,Estoque!$A$6:$A$45,0)),"Código não encontrado"))</f>
        <v/>
      </c>
      <c r="E64" s="19" t="str">
        <f aca="false">IF($C64="","",IFERROR(INDEX(Estoque!$B$6:$B$45,MATCH($C64,Estoque!$A$6:$A$45,0)),"Código não encontrado"))</f>
        <v/>
      </c>
      <c r="F64" s="18"/>
      <c r="G64" s="18"/>
      <c r="H64" s="18"/>
      <c r="I64" s="20" t="str">
        <f aca="false">IF(OR($B64="",$C64=""),"",IF(OR($B64="Retorno de sobra",$B64="Saída de sobra"),IFERROR(VLOOKUP($G64,Listas!$A$2:$B$5,2,FALSE()),0)*IF($H64="",1,$H64),$H64))</f>
        <v/>
      </c>
      <c r="J64" s="21" t="str">
        <f aca="false">IF($C64="","",IF(ISNA(MATCH($C64,Estoque!$A$6:$A$45,0)),"⚠ Código não encontrado",IF(AND(OR($B64="Retorno de sobra",$B64="Saída de sobra"),$G64=""),"⚠ Escolha a medida da sobra",IF(AND(OR($B64="Entrada",$B64="Saída"),$H64=""),"⚠ Informe a quantidade","OK"))))</f>
        <v/>
      </c>
    </row>
    <row r="65" customFormat="false" ht="15" hidden="false" customHeight="false" outlineLevel="0" collapsed="false">
      <c r="A65" s="22"/>
      <c r="B65" s="18"/>
      <c r="C65" s="18"/>
      <c r="D65" s="19" t="str">
        <f aca="false">IF($C65="","",IFERROR(INDEX(Estoque!$C$6:$C$45,MATCH($C65,Estoque!$A$6:$A$45,0)),"Código não encontrado"))</f>
        <v/>
      </c>
      <c r="E65" s="19" t="str">
        <f aca="false">IF($C65="","",IFERROR(INDEX(Estoque!$B$6:$B$45,MATCH($C65,Estoque!$A$6:$A$45,0)),"Código não encontrado"))</f>
        <v/>
      </c>
      <c r="F65" s="18"/>
      <c r="G65" s="18"/>
      <c r="H65" s="18"/>
      <c r="I65" s="20" t="str">
        <f aca="false">IF(OR($B65="",$C65=""),"",IF(OR($B65="Retorno de sobra",$B65="Saída de sobra"),IFERROR(VLOOKUP($G65,Listas!$A$2:$B$5,2,FALSE()),0)*IF($H65="",1,$H65),$H65))</f>
        <v/>
      </c>
      <c r="J65" s="21" t="str">
        <f aca="false">IF($C65="","",IF(ISNA(MATCH($C65,Estoque!$A$6:$A$45,0)),"⚠ Código não encontrado",IF(AND(OR($B65="Retorno de sobra",$B65="Saída de sobra"),$G65=""),"⚠ Escolha a medida da sobra",IF(AND(OR($B65="Entrada",$B65="Saída"),$H65=""),"⚠ Informe a quantidade","OK"))))</f>
        <v/>
      </c>
    </row>
    <row r="66" customFormat="false" ht="15" hidden="false" customHeight="false" outlineLevel="0" collapsed="false">
      <c r="A66" s="22"/>
      <c r="B66" s="18"/>
      <c r="C66" s="18"/>
      <c r="D66" s="19" t="str">
        <f aca="false">IF($C66="","",IFERROR(INDEX(Estoque!$C$6:$C$45,MATCH($C66,Estoque!$A$6:$A$45,0)),"Código não encontrado"))</f>
        <v/>
      </c>
      <c r="E66" s="19" t="str">
        <f aca="false">IF($C66="","",IFERROR(INDEX(Estoque!$B$6:$B$45,MATCH($C66,Estoque!$A$6:$A$45,0)),"Código não encontrado"))</f>
        <v/>
      </c>
      <c r="F66" s="18"/>
      <c r="G66" s="18"/>
      <c r="H66" s="18"/>
      <c r="I66" s="20" t="str">
        <f aca="false">IF(OR($B66="",$C66=""),"",IF(OR($B66="Retorno de sobra",$B66="Saída de sobra"),IFERROR(VLOOKUP($G66,Listas!$A$2:$B$5,2,FALSE()),0)*IF($H66="",1,$H66),$H66))</f>
        <v/>
      </c>
      <c r="J66" s="21" t="str">
        <f aca="false">IF($C66="","",IF(ISNA(MATCH($C66,Estoque!$A$6:$A$45,0)),"⚠ Código não encontrado",IF(AND(OR($B66="Retorno de sobra",$B66="Saída de sobra"),$G66=""),"⚠ Escolha a medida da sobra",IF(AND(OR($B66="Entrada",$B66="Saída"),$H66=""),"⚠ Informe a quantidade","OK"))))</f>
        <v/>
      </c>
    </row>
    <row r="67" customFormat="false" ht="15" hidden="false" customHeight="false" outlineLevel="0" collapsed="false">
      <c r="A67" s="22"/>
      <c r="B67" s="18"/>
      <c r="C67" s="18"/>
      <c r="D67" s="19" t="str">
        <f aca="false">IF($C67="","",IFERROR(INDEX(Estoque!$C$6:$C$45,MATCH($C67,Estoque!$A$6:$A$45,0)),"Código não encontrado"))</f>
        <v/>
      </c>
      <c r="E67" s="19" t="str">
        <f aca="false">IF($C67="","",IFERROR(INDEX(Estoque!$B$6:$B$45,MATCH($C67,Estoque!$A$6:$A$45,0)),"Código não encontrado"))</f>
        <v/>
      </c>
      <c r="F67" s="18"/>
      <c r="G67" s="18"/>
      <c r="H67" s="18"/>
      <c r="I67" s="20" t="str">
        <f aca="false">IF(OR($B67="",$C67=""),"",IF(OR($B67="Retorno de sobra",$B67="Saída de sobra"),IFERROR(VLOOKUP($G67,Listas!$A$2:$B$5,2,FALSE()),0)*IF($H67="",1,$H67),$H67))</f>
        <v/>
      </c>
      <c r="J67" s="21" t="str">
        <f aca="false">IF($C67="","",IF(ISNA(MATCH($C67,Estoque!$A$6:$A$45,0)),"⚠ Código não encontrado",IF(AND(OR($B67="Retorno de sobra",$B67="Saída de sobra"),$G67=""),"⚠ Escolha a medida da sobra",IF(AND(OR($B67="Entrada",$B67="Saída"),$H67=""),"⚠ Informe a quantidade","OK"))))</f>
        <v/>
      </c>
    </row>
    <row r="68" customFormat="false" ht="15" hidden="false" customHeight="false" outlineLevel="0" collapsed="false">
      <c r="A68" s="22"/>
      <c r="B68" s="18"/>
      <c r="C68" s="18"/>
      <c r="D68" s="19" t="str">
        <f aca="false">IF($C68="","",IFERROR(INDEX(Estoque!$C$6:$C$45,MATCH($C68,Estoque!$A$6:$A$45,0)),"Código não encontrado"))</f>
        <v/>
      </c>
      <c r="E68" s="19" t="str">
        <f aca="false">IF($C68="","",IFERROR(INDEX(Estoque!$B$6:$B$45,MATCH($C68,Estoque!$A$6:$A$45,0)),"Código não encontrado"))</f>
        <v/>
      </c>
      <c r="F68" s="18"/>
      <c r="G68" s="18"/>
      <c r="H68" s="18"/>
      <c r="I68" s="20" t="str">
        <f aca="false">IF(OR($B68="",$C68=""),"",IF(OR($B68="Retorno de sobra",$B68="Saída de sobra"),IFERROR(VLOOKUP($G68,Listas!$A$2:$B$5,2,FALSE()),0)*IF($H68="",1,$H68),$H68))</f>
        <v/>
      </c>
      <c r="J68" s="21" t="str">
        <f aca="false">IF($C68="","",IF(ISNA(MATCH($C68,Estoque!$A$6:$A$45,0)),"⚠ Código não encontrado",IF(AND(OR($B68="Retorno de sobra",$B68="Saída de sobra"),$G68=""),"⚠ Escolha a medida da sobra",IF(AND(OR($B68="Entrada",$B68="Saída"),$H68=""),"⚠ Informe a quantidade","OK"))))</f>
        <v/>
      </c>
    </row>
    <row r="69" customFormat="false" ht="15" hidden="false" customHeight="false" outlineLevel="0" collapsed="false">
      <c r="A69" s="22"/>
      <c r="B69" s="18"/>
      <c r="C69" s="18"/>
      <c r="D69" s="19" t="str">
        <f aca="false">IF($C69="","",IFERROR(INDEX(Estoque!$C$6:$C$45,MATCH($C69,Estoque!$A$6:$A$45,0)),"Código não encontrado"))</f>
        <v/>
      </c>
      <c r="E69" s="19" t="str">
        <f aca="false">IF($C69="","",IFERROR(INDEX(Estoque!$B$6:$B$45,MATCH($C69,Estoque!$A$6:$A$45,0)),"Código não encontrado"))</f>
        <v/>
      </c>
      <c r="F69" s="18"/>
      <c r="G69" s="18"/>
      <c r="H69" s="18"/>
      <c r="I69" s="20" t="str">
        <f aca="false">IF(OR($B69="",$C69=""),"",IF(OR($B69="Retorno de sobra",$B69="Saída de sobra"),IFERROR(VLOOKUP($G69,Listas!$A$2:$B$5,2,FALSE()),0)*IF($H69="",1,$H69),$H69))</f>
        <v/>
      </c>
      <c r="J69" s="21" t="str">
        <f aca="false">IF($C69="","",IF(ISNA(MATCH($C69,Estoque!$A$6:$A$45,0)),"⚠ Código não encontrado",IF(AND(OR($B69="Retorno de sobra",$B69="Saída de sobra"),$G69=""),"⚠ Escolha a medida da sobra",IF(AND(OR($B69="Entrada",$B69="Saída"),$H69=""),"⚠ Informe a quantidade","OK"))))</f>
        <v/>
      </c>
    </row>
    <row r="70" customFormat="false" ht="15" hidden="false" customHeight="false" outlineLevel="0" collapsed="false">
      <c r="A70" s="22"/>
      <c r="B70" s="18"/>
      <c r="C70" s="18"/>
      <c r="D70" s="19" t="str">
        <f aca="false">IF($C70="","",IFERROR(INDEX(Estoque!$C$6:$C$45,MATCH($C70,Estoque!$A$6:$A$45,0)),"Código não encontrado"))</f>
        <v/>
      </c>
      <c r="E70" s="19" t="str">
        <f aca="false">IF($C70="","",IFERROR(INDEX(Estoque!$B$6:$B$45,MATCH($C70,Estoque!$A$6:$A$45,0)),"Código não encontrado"))</f>
        <v/>
      </c>
      <c r="F70" s="18"/>
      <c r="G70" s="18"/>
      <c r="H70" s="18"/>
      <c r="I70" s="20" t="str">
        <f aca="false">IF(OR($B70="",$C70=""),"",IF(OR($B70="Retorno de sobra",$B70="Saída de sobra"),IFERROR(VLOOKUP($G70,Listas!$A$2:$B$5,2,FALSE()),0)*IF($H70="",1,$H70),$H70))</f>
        <v/>
      </c>
      <c r="J70" s="21" t="str">
        <f aca="false">IF($C70="","",IF(ISNA(MATCH($C70,Estoque!$A$6:$A$45,0)),"⚠ Código não encontrado",IF(AND(OR($B70="Retorno de sobra",$B70="Saída de sobra"),$G70=""),"⚠ Escolha a medida da sobra",IF(AND(OR($B70="Entrada",$B70="Saída"),$H70=""),"⚠ Informe a quantidade","OK"))))</f>
        <v/>
      </c>
    </row>
    <row r="71" customFormat="false" ht="15" hidden="false" customHeight="false" outlineLevel="0" collapsed="false">
      <c r="A71" s="22"/>
      <c r="B71" s="18"/>
      <c r="C71" s="18"/>
      <c r="D71" s="19" t="str">
        <f aca="false">IF($C71="","",IFERROR(INDEX(Estoque!$C$6:$C$45,MATCH($C71,Estoque!$A$6:$A$45,0)),"Código não encontrado"))</f>
        <v/>
      </c>
      <c r="E71" s="19" t="str">
        <f aca="false">IF($C71="","",IFERROR(INDEX(Estoque!$B$6:$B$45,MATCH($C71,Estoque!$A$6:$A$45,0)),"Código não encontrado"))</f>
        <v/>
      </c>
      <c r="F71" s="18"/>
      <c r="G71" s="18"/>
      <c r="H71" s="18"/>
      <c r="I71" s="20" t="str">
        <f aca="false">IF(OR($B71="",$C71=""),"",IF(OR($B71="Retorno de sobra",$B71="Saída de sobra"),IFERROR(VLOOKUP($G71,Listas!$A$2:$B$5,2,FALSE()),0)*IF($H71="",1,$H71),$H71))</f>
        <v/>
      </c>
      <c r="J71" s="21" t="str">
        <f aca="false">IF($C71="","",IF(ISNA(MATCH($C71,Estoque!$A$6:$A$45,0)),"⚠ Código não encontrado",IF(AND(OR($B71="Retorno de sobra",$B71="Saída de sobra"),$G71=""),"⚠ Escolha a medida da sobra",IF(AND(OR($B71="Entrada",$B71="Saída"),$H71=""),"⚠ Informe a quantidade","OK"))))</f>
        <v/>
      </c>
    </row>
    <row r="72" customFormat="false" ht="15" hidden="false" customHeight="false" outlineLevel="0" collapsed="false">
      <c r="A72" s="22"/>
      <c r="B72" s="18"/>
      <c r="C72" s="18"/>
      <c r="D72" s="19" t="str">
        <f aca="false">IF($C72="","",IFERROR(INDEX(Estoque!$C$6:$C$45,MATCH($C72,Estoque!$A$6:$A$45,0)),"Código não encontrado"))</f>
        <v/>
      </c>
      <c r="E72" s="19" t="str">
        <f aca="false">IF($C72="","",IFERROR(INDEX(Estoque!$B$6:$B$45,MATCH($C72,Estoque!$A$6:$A$45,0)),"Código não encontrado"))</f>
        <v/>
      </c>
      <c r="F72" s="18"/>
      <c r="G72" s="18"/>
      <c r="H72" s="18"/>
      <c r="I72" s="20" t="str">
        <f aca="false">IF(OR($B72="",$C72=""),"",IF(OR($B72="Retorno de sobra",$B72="Saída de sobra"),IFERROR(VLOOKUP($G72,Listas!$A$2:$B$5,2,FALSE()),0)*IF($H72="",1,$H72),$H72))</f>
        <v/>
      </c>
      <c r="J72" s="21" t="str">
        <f aca="false">IF($C72="","",IF(ISNA(MATCH($C72,Estoque!$A$6:$A$45,0)),"⚠ Código não encontrado",IF(AND(OR($B72="Retorno de sobra",$B72="Saída de sobra"),$G72=""),"⚠ Escolha a medida da sobra",IF(AND(OR($B72="Entrada",$B72="Saída"),$H72=""),"⚠ Informe a quantidade","OK"))))</f>
        <v/>
      </c>
    </row>
    <row r="73" customFormat="false" ht="15" hidden="false" customHeight="false" outlineLevel="0" collapsed="false">
      <c r="A73" s="22"/>
      <c r="B73" s="18"/>
      <c r="C73" s="18"/>
      <c r="D73" s="19" t="str">
        <f aca="false">IF($C73="","",IFERROR(INDEX(Estoque!$C$6:$C$45,MATCH($C73,Estoque!$A$6:$A$45,0)),"Código não encontrado"))</f>
        <v/>
      </c>
      <c r="E73" s="19" t="str">
        <f aca="false">IF($C73="","",IFERROR(INDEX(Estoque!$B$6:$B$45,MATCH($C73,Estoque!$A$6:$A$45,0)),"Código não encontrado"))</f>
        <v/>
      </c>
      <c r="F73" s="18"/>
      <c r="G73" s="18"/>
      <c r="H73" s="18"/>
      <c r="I73" s="20" t="str">
        <f aca="false">IF(OR($B73="",$C73=""),"",IF(OR($B73="Retorno de sobra",$B73="Saída de sobra"),IFERROR(VLOOKUP($G73,Listas!$A$2:$B$5,2,FALSE()),0)*IF($H73="",1,$H73),$H73))</f>
        <v/>
      </c>
      <c r="J73" s="21" t="str">
        <f aca="false">IF($C73="","",IF(ISNA(MATCH($C73,Estoque!$A$6:$A$45,0)),"⚠ Código não encontrado",IF(AND(OR($B73="Retorno de sobra",$B73="Saída de sobra"),$G73=""),"⚠ Escolha a medida da sobra",IF(AND(OR($B73="Entrada",$B73="Saída"),$H73=""),"⚠ Informe a quantidade","OK"))))</f>
        <v/>
      </c>
    </row>
    <row r="74" customFormat="false" ht="15" hidden="false" customHeight="false" outlineLevel="0" collapsed="false">
      <c r="A74" s="22"/>
      <c r="B74" s="18"/>
      <c r="C74" s="18"/>
      <c r="D74" s="19" t="str">
        <f aca="false">IF($C74="","",IFERROR(INDEX(Estoque!$C$6:$C$45,MATCH($C74,Estoque!$A$6:$A$45,0)),"Código não encontrado"))</f>
        <v/>
      </c>
      <c r="E74" s="19" t="str">
        <f aca="false">IF($C74="","",IFERROR(INDEX(Estoque!$B$6:$B$45,MATCH($C74,Estoque!$A$6:$A$45,0)),"Código não encontrado"))</f>
        <v/>
      </c>
      <c r="F74" s="18"/>
      <c r="G74" s="18"/>
      <c r="H74" s="18"/>
      <c r="I74" s="20" t="str">
        <f aca="false">IF(OR($B74="",$C74=""),"",IF(OR($B74="Retorno de sobra",$B74="Saída de sobra"),IFERROR(VLOOKUP($G74,Listas!$A$2:$B$5,2,FALSE()),0)*IF($H74="",1,$H74),$H74))</f>
        <v/>
      </c>
      <c r="J74" s="21" t="str">
        <f aca="false">IF($C74="","",IF(ISNA(MATCH($C74,Estoque!$A$6:$A$45,0)),"⚠ Código não encontrado",IF(AND(OR($B74="Retorno de sobra",$B74="Saída de sobra"),$G74=""),"⚠ Escolha a medida da sobra",IF(AND(OR($B74="Entrada",$B74="Saída"),$H74=""),"⚠ Informe a quantidade","OK"))))</f>
        <v/>
      </c>
    </row>
    <row r="75" customFormat="false" ht="15" hidden="false" customHeight="false" outlineLevel="0" collapsed="false">
      <c r="A75" s="22"/>
      <c r="B75" s="18"/>
      <c r="C75" s="18"/>
      <c r="D75" s="19" t="str">
        <f aca="false">IF($C75="","",IFERROR(INDEX(Estoque!$C$6:$C$45,MATCH($C75,Estoque!$A$6:$A$45,0)),"Código não encontrado"))</f>
        <v/>
      </c>
      <c r="E75" s="19" t="str">
        <f aca="false">IF($C75="","",IFERROR(INDEX(Estoque!$B$6:$B$45,MATCH($C75,Estoque!$A$6:$A$45,0)),"Código não encontrado"))</f>
        <v/>
      </c>
      <c r="F75" s="18"/>
      <c r="G75" s="18"/>
      <c r="H75" s="18"/>
      <c r="I75" s="20" t="str">
        <f aca="false">IF(OR($B75="",$C75=""),"",IF(OR($B75="Retorno de sobra",$B75="Saída de sobra"),IFERROR(VLOOKUP($G75,Listas!$A$2:$B$5,2,FALSE()),0)*IF($H75="",1,$H75),$H75))</f>
        <v/>
      </c>
      <c r="J75" s="21" t="str">
        <f aca="false">IF($C75="","",IF(ISNA(MATCH($C75,Estoque!$A$6:$A$45,0)),"⚠ Código não encontrado",IF(AND(OR($B75="Retorno de sobra",$B75="Saída de sobra"),$G75=""),"⚠ Escolha a medida da sobra",IF(AND(OR($B75="Entrada",$B75="Saída"),$H75=""),"⚠ Informe a quantidade","OK"))))</f>
        <v/>
      </c>
    </row>
    <row r="76" customFormat="false" ht="15" hidden="false" customHeight="false" outlineLevel="0" collapsed="false">
      <c r="A76" s="22"/>
      <c r="B76" s="18"/>
      <c r="C76" s="18"/>
      <c r="D76" s="19" t="str">
        <f aca="false">IF($C76="","",IFERROR(INDEX(Estoque!$C$6:$C$45,MATCH($C76,Estoque!$A$6:$A$45,0)),"Código não encontrado"))</f>
        <v/>
      </c>
      <c r="E76" s="19" t="str">
        <f aca="false">IF($C76="","",IFERROR(INDEX(Estoque!$B$6:$B$45,MATCH($C76,Estoque!$A$6:$A$45,0)),"Código não encontrado"))</f>
        <v/>
      </c>
      <c r="F76" s="18"/>
      <c r="G76" s="18"/>
      <c r="H76" s="18"/>
      <c r="I76" s="20" t="str">
        <f aca="false">IF(OR($B76="",$C76=""),"",IF(OR($B76="Retorno de sobra",$B76="Saída de sobra"),IFERROR(VLOOKUP($G76,Listas!$A$2:$B$5,2,FALSE()),0)*IF($H76="",1,$H76),$H76))</f>
        <v/>
      </c>
      <c r="J76" s="21" t="str">
        <f aca="false">IF($C76="","",IF(ISNA(MATCH($C76,Estoque!$A$6:$A$45,0)),"⚠ Código não encontrado",IF(AND(OR($B76="Retorno de sobra",$B76="Saída de sobra"),$G76=""),"⚠ Escolha a medida da sobra",IF(AND(OR($B76="Entrada",$B76="Saída"),$H76=""),"⚠ Informe a quantidade","OK"))))</f>
        <v/>
      </c>
    </row>
    <row r="77" customFormat="false" ht="15" hidden="false" customHeight="false" outlineLevel="0" collapsed="false">
      <c r="A77" s="22"/>
      <c r="B77" s="18"/>
      <c r="C77" s="18"/>
      <c r="D77" s="19" t="str">
        <f aca="false">IF($C77="","",IFERROR(INDEX(Estoque!$C$6:$C$45,MATCH($C77,Estoque!$A$6:$A$45,0)),"Código não encontrado"))</f>
        <v/>
      </c>
      <c r="E77" s="19" t="str">
        <f aca="false">IF($C77="","",IFERROR(INDEX(Estoque!$B$6:$B$45,MATCH($C77,Estoque!$A$6:$A$45,0)),"Código não encontrado"))</f>
        <v/>
      </c>
      <c r="F77" s="18"/>
      <c r="G77" s="18"/>
      <c r="H77" s="18"/>
      <c r="I77" s="20" t="str">
        <f aca="false">IF(OR($B77="",$C77=""),"",IF(OR($B77="Retorno de sobra",$B77="Saída de sobra"),IFERROR(VLOOKUP($G77,Listas!$A$2:$B$5,2,FALSE()),0)*IF($H77="",1,$H77),$H77))</f>
        <v/>
      </c>
      <c r="J77" s="21" t="str">
        <f aca="false">IF($C77="","",IF(ISNA(MATCH($C77,Estoque!$A$6:$A$45,0)),"⚠ Código não encontrado",IF(AND(OR($B77="Retorno de sobra",$B77="Saída de sobra"),$G77=""),"⚠ Escolha a medida da sobra",IF(AND(OR($B77="Entrada",$B77="Saída"),$H77=""),"⚠ Informe a quantidade","OK"))))</f>
        <v/>
      </c>
    </row>
    <row r="78" customFormat="false" ht="15" hidden="false" customHeight="false" outlineLevel="0" collapsed="false">
      <c r="A78" s="22"/>
      <c r="B78" s="18"/>
      <c r="C78" s="18"/>
      <c r="D78" s="19" t="str">
        <f aca="false">IF($C78="","",IFERROR(INDEX(Estoque!$C$6:$C$45,MATCH($C78,Estoque!$A$6:$A$45,0)),"Código não encontrado"))</f>
        <v/>
      </c>
      <c r="E78" s="19" t="str">
        <f aca="false">IF($C78="","",IFERROR(INDEX(Estoque!$B$6:$B$45,MATCH($C78,Estoque!$A$6:$A$45,0)),"Código não encontrado"))</f>
        <v/>
      </c>
      <c r="F78" s="18"/>
      <c r="G78" s="18"/>
      <c r="H78" s="18"/>
      <c r="I78" s="20" t="str">
        <f aca="false">IF(OR($B78="",$C78=""),"",IF(OR($B78="Retorno de sobra",$B78="Saída de sobra"),IFERROR(VLOOKUP($G78,Listas!$A$2:$B$5,2,FALSE()),0)*IF($H78="",1,$H78),$H78))</f>
        <v/>
      </c>
      <c r="J78" s="21" t="str">
        <f aca="false">IF($C78="","",IF(ISNA(MATCH($C78,Estoque!$A$6:$A$45,0)),"⚠ Código não encontrado",IF(AND(OR($B78="Retorno de sobra",$B78="Saída de sobra"),$G78=""),"⚠ Escolha a medida da sobra",IF(AND(OR($B78="Entrada",$B78="Saída"),$H78=""),"⚠ Informe a quantidade","OK"))))</f>
        <v/>
      </c>
    </row>
    <row r="79" customFormat="false" ht="15" hidden="false" customHeight="false" outlineLevel="0" collapsed="false">
      <c r="A79" s="22"/>
      <c r="B79" s="18"/>
      <c r="C79" s="18"/>
      <c r="D79" s="19" t="str">
        <f aca="false">IF($C79="","",IFERROR(INDEX(Estoque!$C$6:$C$45,MATCH($C79,Estoque!$A$6:$A$45,0)),"Código não encontrado"))</f>
        <v/>
      </c>
      <c r="E79" s="19" t="str">
        <f aca="false">IF($C79="","",IFERROR(INDEX(Estoque!$B$6:$B$45,MATCH($C79,Estoque!$A$6:$A$45,0)),"Código não encontrado"))</f>
        <v/>
      </c>
      <c r="F79" s="18"/>
      <c r="G79" s="18"/>
      <c r="H79" s="18"/>
      <c r="I79" s="20" t="str">
        <f aca="false">IF(OR($B79="",$C79=""),"",IF(OR($B79="Retorno de sobra",$B79="Saída de sobra"),IFERROR(VLOOKUP($G79,Listas!$A$2:$B$5,2,FALSE()),0)*IF($H79="",1,$H79),$H79))</f>
        <v/>
      </c>
      <c r="J79" s="21" t="str">
        <f aca="false">IF($C79="","",IF(ISNA(MATCH($C79,Estoque!$A$6:$A$45,0)),"⚠ Código não encontrado",IF(AND(OR($B79="Retorno de sobra",$B79="Saída de sobra"),$G79=""),"⚠ Escolha a medida da sobra",IF(AND(OR($B79="Entrada",$B79="Saída"),$H79=""),"⚠ Informe a quantidade","OK"))))</f>
        <v/>
      </c>
    </row>
    <row r="80" customFormat="false" ht="15" hidden="false" customHeight="false" outlineLevel="0" collapsed="false">
      <c r="A80" s="22"/>
      <c r="B80" s="18"/>
      <c r="C80" s="18"/>
      <c r="D80" s="19" t="str">
        <f aca="false">IF($C80="","",IFERROR(INDEX(Estoque!$C$6:$C$45,MATCH($C80,Estoque!$A$6:$A$45,0)),"Código não encontrado"))</f>
        <v/>
      </c>
      <c r="E80" s="19" t="str">
        <f aca="false">IF($C80="","",IFERROR(INDEX(Estoque!$B$6:$B$45,MATCH($C80,Estoque!$A$6:$A$45,0)),"Código não encontrado"))</f>
        <v/>
      </c>
      <c r="F80" s="18"/>
      <c r="G80" s="18"/>
      <c r="H80" s="18"/>
      <c r="I80" s="20" t="str">
        <f aca="false">IF(OR($B80="",$C80=""),"",IF(OR($B80="Retorno de sobra",$B80="Saída de sobra"),IFERROR(VLOOKUP($G80,Listas!$A$2:$B$5,2,FALSE()),0)*IF($H80="",1,$H80),$H80))</f>
        <v/>
      </c>
      <c r="J80" s="21" t="str">
        <f aca="false">IF($C80="","",IF(ISNA(MATCH($C80,Estoque!$A$6:$A$45,0)),"⚠ Código não encontrado",IF(AND(OR($B80="Retorno de sobra",$B80="Saída de sobra"),$G80=""),"⚠ Escolha a medida da sobra",IF(AND(OR($B80="Entrada",$B80="Saída"),$H80=""),"⚠ Informe a quantidade","OK"))))</f>
        <v/>
      </c>
    </row>
    <row r="81" customFormat="false" ht="15" hidden="false" customHeight="false" outlineLevel="0" collapsed="false">
      <c r="A81" s="22"/>
      <c r="B81" s="18"/>
      <c r="C81" s="18"/>
      <c r="D81" s="19" t="str">
        <f aca="false">IF($C81="","",IFERROR(INDEX(Estoque!$C$6:$C$45,MATCH($C81,Estoque!$A$6:$A$45,0)),"Código não encontrado"))</f>
        <v/>
      </c>
      <c r="E81" s="19" t="str">
        <f aca="false">IF($C81="","",IFERROR(INDEX(Estoque!$B$6:$B$45,MATCH($C81,Estoque!$A$6:$A$45,0)),"Código não encontrado"))</f>
        <v/>
      </c>
      <c r="F81" s="18"/>
      <c r="G81" s="18"/>
      <c r="H81" s="18"/>
      <c r="I81" s="20" t="str">
        <f aca="false">IF(OR($B81="",$C81=""),"",IF(OR($B81="Retorno de sobra",$B81="Saída de sobra"),IFERROR(VLOOKUP($G81,Listas!$A$2:$B$5,2,FALSE()),0)*IF($H81="",1,$H81),$H81))</f>
        <v/>
      </c>
      <c r="J81" s="21" t="str">
        <f aca="false">IF($C81="","",IF(ISNA(MATCH($C81,Estoque!$A$6:$A$45,0)),"⚠ Código não encontrado",IF(AND(OR($B81="Retorno de sobra",$B81="Saída de sobra"),$G81=""),"⚠ Escolha a medida da sobra",IF(AND(OR($B81="Entrada",$B81="Saída"),$H81=""),"⚠ Informe a quantidade","OK"))))</f>
        <v/>
      </c>
    </row>
    <row r="82" customFormat="false" ht="15" hidden="false" customHeight="false" outlineLevel="0" collapsed="false">
      <c r="A82" s="22"/>
      <c r="B82" s="18"/>
      <c r="C82" s="18"/>
      <c r="D82" s="19" t="str">
        <f aca="false">IF($C82="","",IFERROR(INDEX(Estoque!$C$6:$C$45,MATCH($C82,Estoque!$A$6:$A$45,0)),"Código não encontrado"))</f>
        <v/>
      </c>
      <c r="E82" s="19" t="str">
        <f aca="false">IF($C82="","",IFERROR(INDEX(Estoque!$B$6:$B$45,MATCH($C82,Estoque!$A$6:$A$45,0)),"Código não encontrado"))</f>
        <v/>
      </c>
      <c r="F82" s="18"/>
      <c r="G82" s="18"/>
      <c r="H82" s="18"/>
      <c r="I82" s="20" t="str">
        <f aca="false">IF(OR($B82="",$C82=""),"",IF(OR($B82="Retorno de sobra",$B82="Saída de sobra"),IFERROR(VLOOKUP($G82,Listas!$A$2:$B$5,2,FALSE()),0)*IF($H82="",1,$H82),$H82))</f>
        <v/>
      </c>
      <c r="J82" s="21" t="str">
        <f aca="false">IF($C82="","",IF(ISNA(MATCH($C82,Estoque!$A$6:$A$45,0)),"⚠ Código não encontrado",IF(AND(OR($B82="Retorno de sobra",$B82="Saída de sobra"),$G82=""),"⚠ Escolha a medida da sobra",IF(AND(OR($B82="Entrada",$B82="Saída"),$H82=""),"⚠ Informe a quantidade","OK"))))</f>
        <v/>
      </c>
    </row>
    <row r="83" customFormat="false" ht="15" hidden="false" customHeight="false" outlineLevel="0" collapsed="false">
      <c r="A83" s="22"/>
      <c r="B83" s="18"/>
      <c r="C83" s="18"/>
      <c r="D83" s="19" t="str">
        <f aca="false">IF($C83="","",IFERROR(INDEX(Estoque!$C$6:$C$45,MATCH($C83,Estoque!$A$6:$A$45,0)),"Código não encontrado"))</f>
        <v/>
      </c>
      <c r="E83" s="19" t="str">
        <f aca="false">IF($C83="","",IFERROR(INDEX(Estoque!$B$6:$B$45,MATCH($C83,Estoque!$A$6:$A$45,0)),"Código não encontrado"))</f>
        <v/>
      </c>
      <c r="F83" s="18"/>
      <c r="G83" s="18"/>
      <c r="H83" s="18"/>
      <c r="I83" s="20" t="str">
        <f aca="false">IF(OR($B83="",$C83=""),"",IF(OR($B83="Retorno de sobra",$B83="Saída de sobra"),IFERROR(VLOOKUP($G83,Listas!$A$2:$B$5,2,FALSE()),0)*IF($H83="",1,$H83),$H83))</f>
        <v/>
      </c>
      <c r="J83" s="21" t="str">
        <f aca="false">IF($C83="","",IF(ISNA(MATCH($C83,Estoque!$A$6:$A$45,0)),"⚠ Código não encontrado",IF(AND(OR($B83="Retorno de sobra",$B83="Saída de sobra"),$G83=""),"⚠ Escolha a medida da sobra",IF(AND(OR($B83="Entrada",$B83="Saída"),$H83=""),"⚠ Informe a quantidade","OK"))))</f>
        <v/>
      </c>
    </row>
    <row r="84" customFormat="false" ht="15" hidden="false" customHeight="false" outlineLevel="0" collapsed="false">
      <c r="A84" s="22"/>
      <c r="B84" s="18"/>
      <c r="C84" s="18"/>
      <c r="D84" s="19" t="str">
        <f aca="false">IF($C84="","",IFERROR(INDEX(Estoque!$C$6:$C$45,MATCH($C84,Estoque!$A$6:$A$45,0)),"Código não encontrado"))</f>
        <v/>
      </c>
      <c r="E84" s="19" t="str">
        <f aca="false">IF($C84="","",IFERROR(INDEX(Estoque!$B$6:$B$45,MATCH($C84,Estoque!$A$6:$A$45,0)),"Código não encontrado"))</f>
        <v/>
      </c>
      <c r="F84" s="18"/>
      <c r="G84" s="18"/>
      <c r="H84" s="18"/>
      <c r="I84" s="20" t="str">
        <f aca="false">IF(OR($B84="",$C84=""),"",IF(OR($B84="Retorno de sobra",$B84="Saída de sobra"),IFERROR(VLOOKUP($G84,Listas!$A$2:$B$5,2,FALSE()),0)*IF($H84="",1,$H84),$H84))</f>
        <v/>
      </c>
      <c r="J84" s="21" t="str">
        <f aca="false">IF($C84="","",IF(ISNA(MATCH($C84,Estoque!$A$6:$A$45,0)),"⚠ Código não encontrado",IF(AND(OR($B84="Retorno de sobra",$B84="Saída de sobra"),$G84=""),"⚠ Escolha a medida da sobra",IF(AND(OR($B84="Entrada",$B84="Saída"),$H84=""),"⚠ Informe a quantidade","OK"))))</f>
        <v/>
      </c>
    </row>
    <row r="85" customFormat="false" ht="15" hidden="false" customHeight="false" outlineLevel="0" collapsed="false">
      <c r="A85" s="22"/>
      <c r="B85" s="18"/>
      <c r="C85" s="18"/>
      <c r="D85" s="19" t="str">
        <f aca="false">IF($C85="","",IFERROR(INDEX(Estoque!$C$6:$C$45,MATCH($C85,Estoque!$A$6:$A$45,0)),"Código não encontrado"))</f>
        <v/>
      </c>
      <c r="E85" s="19" t="str">
        <f aca="false">IF($C85="","",IFERROR(INDEX(Estoque!$B$6:$B$45,MATCH($C85,Estoque!$A$6:$A$45,0)),"Código não encontrado"))</f>
        <v/>
      </c>
      <c r="F85" s="18"/>
      <c r="G85" s="18"/>
      <c r="H85" s="18"/>
      <c r="I85" s="20" t="str">
        <f aca="false">IF(OR($B85="",$C85=""),"",IF(OR($B85="Retorno de sobra",$B85="Saída de sobra"),IFERROR(VLOOKUP($G85,Listas!$A$2:$B$5,2,FALSE()),0)*IF($H85="",1,$H85),$H85))</f>
        <v/>
      </c>
      <c r="J85" s="21" t="str">
        <f aca="false">IF($C85="","",IF(ISNA(MATCH($C85,Estoque!$A$6:$A$45,0)),"⚠ Código não encontrado",IF(AND(OR($B85="Retorno de sobra",$B85="Saída de sobra"),$G85=""),"⚠ Escolha a medida da sobra",IF(AND(OR($B85="Entrada",$B85="Saída"),$H85=""),"⚠ Informe a quantidade","OK"))))</f>
        <v/>
      </c>
    </row>
    <row r="86" customFormat="false" ht="15" hidden="false" customHeight="false" outlineLevel="0" collapsed="false">
      <c r="A86" s="22"/>
      <c r="B86" s="18"/>
      <c r="C86" s="18"/>
      <c r="D86" s="19" t="str">
        <f aca="false">IF($C86="","",IFERROR(INDEX(Estoque!$C$6:$C$45,MATCH($C86,Estoque!$A$6:$A$45,0)),"Código não encontrado"))</f>
        <v/>
      </c>
      <c r="E86" s="19" t="str">
        <f aca="false">IF($C86="","",IFERROR(INDEX(Estoque!$B$6:$B$45,MATCH($C86,Estoque!$A$6:$A$45,0)),"Código não encontrado"))</f>
        <v/>
      </c>
      <c r="F86" s="18"/>
      <c r="G86" s="18"/>
      <c r="H86" s="18"/>
      <c r="I86" s="20" t="str">
        <f aca="false">IF(OR($B86="",$C86=""),"",IF(OR($B86="Retorno de sobra",$B86="Saída de sobra"),IFERROR(VLOOKUP($G86,Listas!$A$2:$B$5,2,FALSE()),0)*IF($H86="",1,$H86),$H86))</f>
        <v/>
      </c>
      <c r="J86" s="21" t="str">
        <f aca="false">IF($C86="","",IF(ISNA(MATCH($C86,Estoque!$A$6:$A$45,0)),"⚠ Código não encontrado",IF(AND(OR($B86="Retorno de sobra",$B86="Saída de sobra"),$G86=""),"⚠ Escolha a medida da sobra",IF(AND(OR($B86="Entrada",$B86="Saída"),$H86=""),"⚠ Informe a quantidade","OK"))))</f>
        <v/>
      </c>
    </row>
    <row r="87" customFormat="false" ht="15" hidden="false" customHeight="false" outlineLevel="0" collapsed="false">
      <c r="A87" s="22"/>
      <c r="B87" s="18"/>
      <c r="C87" s="18"/>
      <c r="D87" s="19" t="str">
        <f aca="false">IF($C87="","",IFERROR(INDEX(Estoque!$C$6:$C$45,MATCH($C87,Estoque!$A$6:$A$45,0)),"Código não encontrado"))</f>
        <v/>
      </c>
      <c r="E87" s="19" t="str">
        <f aca="false">IF($C87="","",IFERROR(INDEX(Estoque!$B$6:$B$45,MATCH($C87,Estoque!$A$6:$A$45,0)),"Código não encontrado"))</f>
        <v/>
      </c>
      <c r="F87" s="18"/>
      <c r="G87" s="18"/>
      <c r="H87" s="18"/>
      <c r="I87" s="20" t="str">
        <f aca="false">IF(OR($B87="",$C87=""),"",IF(OR($B87="Retorno de sobra",$B87="Saída de sobra"),IFERROR(VLOOKUP($G87,Listas!$A$2:$B$5,2,FALSE()),0)*IF($H87="",1,$H87),$H87))</f>
        <v/>
      </c>
      <c r="J87" s="21" t="str">
        <f aca="false">IF($C87="","",IF(ISNA(MATCH($C87,Estoque!$A$6:$A$45,0)),"⚠ Código não encontrado",IF(AND(OR($B87="Retorno de sobra",$B87="Saída de sobra"),$G87=""),"⚠ Escolha a medida da sobra",IF(AND(OR($B87="Entrada",$B87="Saída"),$H87=""),"⚠ Informe a quantidade","OK"))))</f>
        <v/>
      </c>
    </row>
    <row r="88" customFormat="false" ht="15" hidden="false" customHeight="false" outlineLevel="0" collapsed="false">
      <c r="A88" s="22"/>
      <c r="B88" s="18"/>
      <c r="C88" s="18"/>
      <c r="D88" s="19" t="str">
        <f aca="false">IF($C88="","",IFERROR(INDEX(Estoque!$C$6:$C$45,MATCH($C88,Estoque!$A$6:$A$45,0)),"Código não encontrado"))</f>
        <v/>
      </c>
      <c r="E88" s="19" t="str">
        <f aca="false">IF($C88="","",IFERROR(INDEX(Estoque!$B$6:$B$45,MATCH($C88,Estoque!$A$6:$A$45,0)),"Código não encontrado"))</f>
        <v/>
      </c>
      <c r="F88" s="18"/>
      <c r="G88" s="18"/>
      <c r="H88" s="18"/>
      <c r="I88" s="20" t="str">
        <f aca="false">IF(OR($B88="",$C88=""),"",IF(OR($B88="Retorno de sobra",$B88="Saída de sobra"),IFERROR(VLOOKUP($G88,Listas!$A$2:$B$5,2,FALSE()),0)*IF($H88="",1,$H88),$H88))</f>
        <v/>
      </c>
      <c r="J88" s="21" t="str">
        <f aca="false">IF($C88="","",IF(ISNA(MATCH($C88,Estoque!$A$6:$A$45,0)),"⚠ Código não encontrado",IF(AND(OR($B88="Retorno de sobra",$B88="Saída de sobra"),$G88=""),"⚠ Escolha a medida da sobra",IF(AND(OR($B88="Entrada",$B88="Saída"),$H88=""),"⚠ Informe a quantidade","OK"))))</f>
        <v/>
      </c>
    </row>
    <row r="89" customFormat="false" ht="15" hidden="false" customHeight="false" outlineLevel="0" collapsed="false">
      <c r="A89" s="22"/>
      <c r="B89" s="18"/>
      <c r="C89" s="18"/>
      <c r="D89" s="19" t="str">
        <f aca="false">IF($C89="","",IFERROR(INDEX(Estoque!$C$6:$C$45,MATCH($C89,Estoque!$A$6:$A$45,0)),"Código não encontrado"))</f>
        <v/>
      </c>
      <c r="E89" s="19" t="str">
        <f aca="false">IF($C89="","",IFERROR(INDEX(Estoque!$B$6:$B$45,MATCH($C89,Estoque!$A$6:$A$45,0)),"Código não encontrado"))</f>
        <v/>
      </c>
      <c r="F89" s="18"/>
      <c r="G89" s="18"/>
      <c r="H89" s="18"/>
      <c r="I89" s="20" t="str">
        <f aca="false">IF(OR($B89="",$C89=""),"",IF(OR($B89="Retorno de sobra",$B89="Saída de sobra"),IFERROR(VLOOKUP($G89,Listas!$A$2:$B$5,2,FALSE()),0)*IF($H89="",1,$H89),$H89))</f>
        <v/>
      </c>
      <c r="J89" s="21" t="str">
        <f aca="false">IF($C89="","",IF(ISNA(MATCH($C89,Estoque!$A$6:$A$45,0)),"⚠ Código não encontrado",IF(AND(OR($B89="Retorno de sobra",$B89="Saída de sobra"),$G89=""),"⚠ Escolha a medida da sobra",IF(AND(OR($B89="Entrada",$B89="Saída"),$H89=""),"⚠ Informe a quantidade","OK"))))</f>
        <v/>
      </c>
    </row>
    <row r="90" customFormat="false" ht="15" hidden="false" customHeight="false" outlineLevel="0" collapsed="false">
      <c r="A90" s="22"/>
      <c r="B90" s="18"/>
      <c r="C90" s="18"/>
      <c r="D90" s="19" t="str">
        <f aca="false">IF($C90="","",IFERROR(INDEX(Estoque!$C$6:$C$45,MATCH($C90,Estoque!$A$6:$A$45,0)),"Código não encontrado"))</f>
        <v/>
      </c>
      <c r="E90" s="19" t="str">
        <f aca="false">IF($C90="","",IFERROR(INDEX(Estoque!$B$6:$B$45,MATCH($C90,Estoque!$A$6:$A$45,0)),"Código não encontrado"))</f>
        <v/>
      </c>
      <c r="F90" s="18"/>
      <c r="G90" s="18"/>
      <c r="H90" s="18"/>
      <c r="I90" s="20" t="str">
        <f aca="false">IF(OR($B90="",$C90=""),"",IF(OR($B90="Retorno de sobra",$B90="Saída de sobra"),IFERROR(VLOOKUP($G90,Listas!$A$2:$B$5,2,FALSE()),0)*IF($H90="",1,$H90),$H90))</f>
        <v/>
      </c>
      <c r="J90" s="21" t="str">
        <f aca="false">IF($C90="","",IF(ISNA(MATCH($C90,Estoque!$A$6:$A$45,0)),"⚠ Código não encontrado",IF(AND(OR($B90="Retorno de sobra",$B90="Saída de sobra"),$G90=""),"⚠ Escolha a medida da sobra",IF(AND(OR($B90="Entrada",$B90="Saída"),$H90=""),"⚠ Informe a quantidade","OK"))))</f>
        <v/>
      </c>
    </row>
    <row r="91" customFormat="false" ht="15" hidden="false" customHeight="false" outlineLevel="0" collapsed="false">
      <c r="A91" s="22"/>
      <c r="B91" s="18"/>
      <c r="C91" s="18"/>
      <c r="D91" s="19" t="str">
        <f aca="false">IF($C91="","",IFERROR(INDEX(Estoque!$C$6:$C$45,MATCH($C91,Estoque!$A$6:$A$45,0)),"Código não encontrado"))</f>
        <v/>
      </c>
      <c r="E91" s="19" t="str">
        <f aca="false">IF($C91="","",IFERROR(INDEX(Estoque!$B$6:$B$45,MATCH($C91,Estoque!$A$6:$A$45,0)),"Código não encontrado"))</f>
        <v/>
      </c>
      <c r="F91" s="18"/>
      <c r="G91" s="18"/>
      <c r="H91" s="18"/>
      <c r="I91" s="20" t="str">
        <f aca="false">IF(OR($B91="",$C91=""),"",IF(OR($B91="Retorno de sobra",$B91="Saída de sobra"),IFERROR(VLOOKUP($G91,Listas!$A$2:$B$5,2,FALSE()),0)*IF($H91="",1,$H91),$H91))</f>
        <v/>
      </c>
      <c r="J91" s="21" t="str">
        <f aca="false">IF($C91="","",IF(ISNA(MATCH($C91,Estoque!$A$6:$A$45,0)),"⚠ Código não encontrado",IF(AND(OR($B91="Retorno de sobra",$B91="Saída de sobra"),$G91=""),"⚠ Escolha a medida da sobra",IF(AND(OR($B91="Entrada",$B91="Saída"),$H91=""),"⚠ Informe a quantidade","OK"))))</f>
        <v/>
      </c>
    </row>
    <row r="92" customFormat="false" ht="15" hidden="false" customHeight="false" outlineLevel="0" collapsed="false">
      <c r="A92" s="22"/>
      <c r="B92" s="18"/>
      <c r="C92" s="18"/>
      <c r="D92" s="19" t="str">
        <f aca="false">IF($C92="","",IFERROR(INDEX(Estoque!$C$6:$C$45,MATCH($C92,Estoque!$A$6:$A$45,0)),"Código não encontrado"))</f>
        <v/>
      </c>
      <c r="E92" s="19" t="str">
        <f aca="false">IF($C92="","",IFERROR(INDEX(Estoque!$B$6:$B$45,MATCH($C92,Estoque!$A$6:$A$45,0)),"Código não encontrado"))</f>
        <v/>
      </c>
      <c r="F92" s="18"/>
      <c r="G92" s="18"/>
      <c r="H92" s="18"/>
      <c r="I92" s="20" t="str">
        <f aca="false">IF(OR($B92="",$C92=""),"",IF(OR($B92="Retorno de sobra",$B92="Saída de sobra"),IFERROR(VLOOKUP($G92,Listas!$A$2:$B$5,2,FALSE()),0)*IF($H92="",1,$H92),$H92))</f>
        <v/>
      </c>
      <c r="J92" s="21" t="str">
        <f aca="false">IF($C92="","",IF(ISNA(MATCH($C92,Estoque!$A$6:$A$45,0)),"⚠ Código não encontrado",IF(AND(OR($B92="Retorno de sobra",$B92="Saída de sobra"),$G92=""),"⚠ Escolha a medida da sobra",IF(AND(OR($B92="Entrada",$B92="Saída"),$H92=""),"⚠ Informe a quantidade","OK"))))</f>
        <v/>
      </c>
    </row>
    <row r="93" customFormat="false" ht="15" hidden="false" customHeight="false" outlineLevel="0" collapsed="false">
      <c r="A93" s="22"/>
      <c r="B93" s="18"/>
      <c r="C93" s="18"/>
      <c r="D93" s="19" t="str">
        <f aca="false">IF($C93="","",IFERROR(INDEX(Estoque!$C$6:$C$45,MATCH($C93,Estoque!$A$6:$A$45,0)),"Código não encontrado"))</f>
        <v/>
      </c>
      <c r="E93" s="19" t="str">
        <f aca="false">IF($C93="","",IFERROR(INDEX(Estoque!$B$6:$B$45,MATCH($C93,Estoque!$A$6:$A$45,0)),"Código não encontrado"))</f>
        <v/>
      </c>
      <c r="F93" s="18"/>
      <c r="G93" s="18"/>
      <c r="H93" s="18"/>
      <c r="I93" s="20" t="str">
        <f aca="false">IF(OR($B93="",$C93=""),"",IF(OR($B93="Retorno de sobra",$B93="Saída de sobra"),IFERROR(VLOOKUP($G93,Listas!$A$2:$B$5,2,FALSE()),0)*IF($H93="",1,$H93),$H93))</f>
        <v/>
      </c>
      <c r="J93" s="21" t="str">
        <f aca="false">IF($C93="","",IF(ISNA(MATCH($C93,Estoque!$A$6:$A$45,0)),"⚠ Código não encontrado",IF(AND(OR($B93="Retorno de sobra",$B93="Saída de sobra"),$G93=""),"⚠ Escolha a medida da sobra",IF(AND(OR($B93="Entrada",$B93="Saída"),$H93=""),"⚠ Informe a quantidade","OK"))))</f>
        <v/>
      </c>
    </row>
    <row r="94" customFormat="false" ht="15" hidden="false" customHeight="false" outlineLevel="0" collapsed="false">
      <c r="A94" s="22"/>
      <c r="B94" s="18"/>
      <c r="C94" s="18"/>
      <c r="D94" s="19" t="str">
        <f aca="false">IF($C94="","",IFERROR(INDEX(Estoque!$C$6:$C$45,MATCH($C94,Estoque!$A$6:$A$45,0)),"Código não encontrado"))</f>
        <v/>
      </c>
      <c r="E94" s="19" t="str">
        <f aca="false">IF($C94="","",IFERROR(INDEX(Estoque!$B$6:$B$45,MATCH($C94,Estoque!$A$6:$A$45,0)),"Código não encontrado"))</f>
        <v/>
      </c>
      <c r="F94" s="18"/>
      <c r="G94" s="18"/>
      <c r="H94" s="18"/>
      <c r="I94" s="20" t="str">
        <f aca="false">IF(OR($B94="",$C94=""),"",IF(OR($B94="Retorno de sobra",$B94="Saída de sobra"),IFERROR(VLOOKUP($G94,Listas!$A$2:$B$5,2,FALSE()),0)*IF($H94="",1,$H94),$H94))</f>
        <v/>
      </c>
      <c r="J94" s="21" t="str">
        <f aca="false">IF($C94="","",IF(ISNA(MATCH($C94,Estoque!$A$6:$A$45,0)),"⚠ Código não encontrado",IF(AND(OR($B94="Retorno de sobra",$B94="Saída de sobra"),$G94=""),"⚠ Escolha a medida da sobra",IF(AND(OR($B94="Entrada",$B94="Saída"),$H94=""),"⚠ Informe a quantidade","OK"))))</f>
        <v/>
      </c>
    </row>
    <row r="95" customFormat="false" ht="15" hidden="false" customHeight="false" outlineLevel="0" collapsed="false">
      <c r="A95" s="22"/>
      <c r="B95" s="18"/>
      <c r="C95" s="18"/>
      <c r="D95" s="19" t="str">
        <f aca="false">IF($C95="","",IFERROR(INDEX(Estoque!$C$6:$C$45,MATCH($C95,Estoque!$A$6:$A$45,0)),"Código não encontrado"))</f>
        <v/>
      </c>
      <c r="E95" s="19" t="str">
        <f aca="false">IF($C95="","",IFERROR(INDEX(Estoque!$B$6:$B$45,MATCH($C95,Estoque!$A$6:$A$45,0)),"Código não encontrado"))</f>
        <v/>
      </c>
      <c r="F95" s="18"/>
      <c r="G95" s="18"/>
      <c r="H95" s="18"/>
      <c r="I95" s="20" t="str">
        <f aca="false">IF(OR($B95="",$C95=""),"",IF(OR($B95="Retorno de sobra",$B95="Saída de sobra"),IFERROR(VLOOKUP($G95,Listas!$A$2:$B$5,2,FALSE()),0)*IF($H95="",1,$H95),$H95))</f>
        <v/>
      </c>
      <c r="J95" s="21" t="str">
        <f aca="false">IF($C95="","",IF(ISNA(MATCH($C95,Estoque!$A$6:$A$45,0)),"⚠ Código não encontrado",IF(AND(OR($B95="Retorno de sobra",$B95="Saída de sobra"),$G95=""),"⚠ Escolha a medida da sobra",IF(AND(OR($B95="Entrada",$B95="Saída"),$H95=""),"⚠ Informe a quantidade","OK"))))</f>
        <v/>
      </c>
    </row>
    <row r="96" customFormat="false" ht="15" hidden="false" customHeight="false" outlineLevel="0" collapsed="false">
      <c r="A96" s="22"/>
      <c r="B96" s="18"/>
      <c r="C96" s="18"/>
      <c r="D96" s="19" t="str">
        <f aca="false">IF($C96="","",IFERROR(INDEX(Estoque!$C$6:$C$45,MATCH($C96,Estoque!$A$6:$A$45,0)),"Código não encontrado"))</f>
        <v/>
      </c>
      <c r="E96" s="19" t="str">
        <f aca="false">IF($C96="","",IFERROR(INDEX(Estoque!$B$6:$B$45,MATCH($C96,Estoque!$A$6:$A$45,0)),"Código não encontrado"))</f>
        <v/>
      </c>
      <c r="F96" s="18"/>
      <c r="G96" s="18"/>
      <c r="H96" s="18"/>
      <c r="I96" s="20" t="str">
        <f aca="false">IF(OR($B96="",$C96=""),"",IF(OR($B96="Retorno de sobra",$B96="Saída de sobra"),IFERROR(VLOOKUP($G96,Listas!$A$2:$B$5,2,FALSE()),0)*IF($H96="",1,$H96),$H96))</f>
        <v/>
      </c>
      <c r="J96" s="21" t="str">
        <f aca="false">IF($C96="","",IF(ISNA(MATCH($C96,Estoque!$A$6:$A$45,0)),"⚠ Código não encontrado",IF(AND(OR($B96="Retorno de sobra",$B96="Saída de sobra"),$G96=""),"⚠ Escolha a medida da sobra",IF(AND(OR($B96="Entrada",$B96="Saída"),$H96=""),"⚠ Informe a quantidade","OK"))))</f>
        <v/>
      </c>
    </row>
    <row r="97" customFormat="false" ht="15" hidden="false" customHeight="false" outlineLevel="0" collapsed="false">
      <c r="A97" s="22"/>
      <c r="B97" s="18"/>
      <c r="C97" s="18"/>
      <c r="D97" s="19" t="str">
        <f aca="false">IF($C97="","",IFERROR(INDEX(Estoque!$C$6:$C$45,MATCH($C97,Estoque!$A$6:$A$45,0)),"Código não encontrado"))</f>
        <v/>
      </c>
      <c r="E97" s="19" t="str">
        <f aca="false">IF($C97="","",IFERROR(INDEX(Estoque!$B$6:$B$45,MATCH($C97,Estoque!$A$6:$A$45,0)),"Código não encontrado"))</f>
        <v/>
      </c>
      <c r="F97" s="18"/>
      <c r="G97" s="18"/>
      <c r="H97" s="18"/>
      <c r="I97" s="20" t="str">
        <f aca="false">IF(OR($B97="",$C97=""),"",IF(OR($B97="Retorno de sobra",$B97="Saída de sobra"),IFERROR(VLOOKUP($G97,Listas!$A$2:$B$5,2,FALSE()),0)*IF($H97="",1,$H97),$H97))</f>
        <v/>
      </c>
      <c r="J97" s="21" t="str">
        <f aca="false">IF($C97="","",IF(ISNA(MATCH($C97,Estoque!$A$6:$A$45,0)),"⚠ Código não encontrado",IF(AND(OR($B97="Retorno de sobra",$B97="Saída de sobra"),$G97=""),"⚠ Escolha a medida da sobra",IF(AND(OR($B97="Entrada",$B97="Saída"),$H97=""),"⚠ Informe a quantidade","OK"))))</f>
        <v/>
      </c>
    </row>
    <row r="98" customFormat="false" ht="15" hidden="false" customHeight="false" outlineLevel="0" collapsed="false">
      <c r="A98" s="22"/>
      <c r="B98" s="18"/>
      <c r="C98" s="18"/>
      <c r="D98" s="19" t="str">
        <f aca="false">IF($C98="","",IFERROR(INDEX(Estoque!$C$6:$C$45,MATCH($C98,Estoque!$A$6:$A$45,0)),"Código não encontrado"))</f>
        <v/>
      </c>
      <c r="E98" s="19" t="str">
        <f aca="false">IF($C98="","",IFERROR(INDEX(Estoque!$B$6:$B$45,MATCH($C98,Estoque!$A$6:$A$45,0)),"Código não encontrado"))</f>
        <v/>
      </c>
      <c r="F98" s="18"/>
      <c r="G98" s="18"/>
      <c r="H98" s="18"/>
      <c r="I98" s="20" t="str">
        <f aca="false">IF(OR($B98="",$C98=""),"",IF(OR($B98="Retorno de sobra",$B98="Saída de sobra"),IFERROR(VLOOKUP($G98,Listas!$A$2:$B$5,2,FALSE()),0)*IF($H98="",1,$H98),$H98))</f>
        <v/>
      </c>
      <c r="J98" s="21" t="str">
        <f aca="false">IF($C98="","",IF(ISNA(MATCH($C98,Estoque!$A$6:$A$45,0)),"⚠ Código não encontrado",IF(AND(OR($B98="Retorno de sobra",$B98="Saída de sobra"),$G98=""),"⚠ Escolha a medida da sobra",IF(AND(OR($B98="Entrada",$B98="Saída"),$H98=""),"⚠ Informe a quantidade","OK"))))</f>
        <v/>
      </c>
    </row>
    <row r="99" customFormat="false" ht="15" hidden="false" customHeight="false" outlineLevel="0" collapsed="false">
      <c r="A99" s="22"/>
      <c r="B99" s="18"/>
      <c r="C99" s="18"/>
      <c r="D99" s="19" t="str">
        <f aca="false">IF($C99="","",IFERROR(INDEX(Estoque!$C$6:$C$45,MATCH($C99,Estoque!$A$6:$A$45,0)),"Código não encontrado"))</f>
        <v/>
      </c>
      <c r="E99" s="19" t="str">
        <f aca="false">IF($C99="","",IFERROR(INDEX(Estoque!$B$6:$B$45,MATCH($C99,Estoque!$A$6:$A$45,0)),"Código não encontrado"))</f>
        <v/>
      </c>
      <c r="F99" s="18"/>
      <c r="G99" s="18"/>
      <c r="H99" s="18"/>
      <c r="I99" s="20" t="str">
        <f aca="false">IF(OR($B99="",$C99=""),"",IF(OR($B99="Retorno de sobra",$B99="Saída de sobra"),IFERROR(VLOOKUP($G99,Listas!$A$2:$B$5,2,FALSE()),0)*IF($H99="",1,$H99),$H99))</f>
        <v/>
      </c>
      <c r="J99" s="21" t="str">
        <f aca="false">IF($C99="","",IF(ISNA(MATCH($C99,Estoque!$A$6:$A$45,0)),"⚠ Código não encontrado",IF(AND(OR($B99="Retorno de sobra",$B99="Saída de sobra"),$G99=""),"⚠ Escolha a medida da sobra",IF(AND(OR($B99="Entrada",$B99="Saída"),$H99=""),"⚠ Informe a quantidade","OK"))))</f>
        <v/>
      </c>
    </row>
    <row r="100" customFormat="false" ht="15" hidden="false" customHeight="false" outlineLevel="0" collapsed="false">
      <c r="A100" s="22"/>
      <c r="B100" s="18"/>
      <c r="C100" s="18"/>
      <c r="D100" s="19" t="str">
        <f aca="false">IF($C100="","",IFERROR(INDEX(Estoque!$C$6:$C$45,MATCH($C100,Estoque!$A$6:$A$45,0)),"Código não encontrado"))</f>
        <v/>
      </c>
      <c r="E100" s="19" t="str">
        <f aca="false">IF($C100="","",IFERROR(INDEX(Estoque!$B$6:$B$45,MATCH($C100,Estoque!$A$6:$A$45,0)),"Código não encontrado"))</f>
        <v/>
      </c>
      <c r="F100" s="18"/>
      <c r="G100" s="18"/>
      <c r="H100" s="18"/>
      <c r="I100" s="20" t="str">
        <f aca="false">IF(OR($B100="",$C100=""),"",IF(OR($B100="Retorno de sobra",$B100="Saída de sobra"),IFERROR(VLOOKUP($G100,Listas!$A$2:$B$5,2,FALSE()),0)*IF($H100="",1,$H100),$H100))</f>
        <v/>
      </c>
      <c r="J100" s="21" t="str">
        <f aca="false">IF($C100="","",IF(ISNA(MATCH($C100,Estoque!$A$6:$A$45,0)),"⚠ Código não encontrado",IF(AND(OR($B100="Retorno de sobra",$B100="Saída de sobra"),$G100=""),"⚠ Escolha a medida da sobra",IF(AND(OR($B100="Entrada",$B100="Saída"),$H100=""),"⚠ Informe a quantidade","OK"))))</f>
        <v/>
      </c>
    </row>
    <row r="101" customFormat="false" ht="15" hidden="false" customHeight="false" outlineLevel="0" collapsed="false">
      <c r="A101" s="22"/>
      <c r="B101" s="18"/>
      <c r="C101" s="18"/>
      <c r="D101" s="19" t="str">
        <f aca="false">IF($C101="","",IFERROR(INDEX(Estoque!$C$6:$C$45,MATCH($C101,Estoque!$A$6:$A$45,0)),"Código não encontrado"))</f>
        <v/>
      </c>
      <c r="E101" s="19" t="str">
        <f aca="false">IF($C101="","",IFERROR(INDEX(Estoque!$B$6:$B$45,MATCH($C101,Estoque!$A$6:$A$45,0)),"Código não encontrado"))</f>
        <v/>
      </c>
      <c r="F101" s="18"/>
      <c r="G101" s="18"/>
      <c r="H101" s="18"/>
      <c r="I101" s="20" t="str">
        <f aca="false">IF(OR($B101="",$C101=""),"",IF(OR($B101="Retorno de sobra",$B101="Saída de sobra"),IFERROR(VLOOKUP($G101,Listas!$A$2:$B$5,2,FALSE()),0)*IF($H101="",1,$H101),$H101))</f>
        <v/>
      </c>
      <c r="J101" s="21" t="str">
        <f aca="false">IF($C101="","",IF(ISNA(MATCH($C101,Estoque!$A$6:$A$45,0)),"⚠ Código não encontrado",IF(AND(OR($B101="Retorno de sobra",$B101="Saída de sobra"),$G101=""),"⚠ Escolha a medida da sobra",IF(AND(OR($B101="Entrada",$B101="Saída"),$H101=""),"⚠ Informe a quantidade","OK"))))</f>
        <v/>
      </c>
    </row>
    <row r="102" customFormat="false" ht="15" hidden="false" customHeight="false" outlineLevel="0" collapsed="false">
      <c r="A102" s="22"/>
      <c r="B102" s="18"/>
      <c r="C102" s="18"/>
      <c r="D102" s="19" t="str">
        <f aca="false">IF($C102="","",IFERROR(INDEX(Estoque!$C$6:$C$45,MATCH($C102,Estoque!$A$6:$A$45,0)),"Código não encontrado"))</f>
        <v/>
      </c>
      <c r="E102" s="19" t="str">
        <f aca="false">IF($C102="","",IFERROR(INDEX(Estoque!$B$6:$B$45,MATCH($C102,Estoque!$A$6:$A$45,0)),"Código não encontrado"))</f>
        <v/>
      </c>
      <c r="F102" s="18"/>
      <c r="G102" s="18"/>
      <c r="H102" s="18"/>
      <c r="I102" s="20" t="str">
        <f aca="false">IF(OR($B102="",$C102=""),"",IF(OR($B102="Retorno de sobra",$B102="Saída de sobra"),IFERROR(VLOOKUP($G102,Listas!$A$2:$B$5,2,FALSE()),0)*IF($H102="",1,$H102),$H102))</f>
        <v/>
      </c>
      <c r="J102" s="21" t="str">
        <f aca="false">IF($C102="","",IF(ISNA(MATCH($C102,Estoque!$A$6:$A$45,0)),"⚠ Código não encontrado",IF(AND(OR($B102="Retorno de sobra",$B102="Saída de sobra"),$G102=""),"⚠ Escolha a medida da sobra",IF(AND(OR($B102="Entrada",$B102="Saída"),$H102=""),"⚠ Informe a quantidade","OK"))))</f>
        <v/>
      </c>
    </row>
    <row r="103" customFormat="false" ht="15" hidden="false" customHeight="false" outlineLevel="0" collapsed="false">
      <c r="A103" s="22"/>
      <c r="B103" s="18"/>
      <c r="C103" s="18"/>
      <c r="D103" s="19" t="str">
        <f aca="false">IF($C103="","",IFERROR(INDEX(Estoque!$C$6:$C$45,MATCH($C103,Estoque!$A$6:$A$45,0)),"Código não encontrado"))</f>
        <v/>
      </c>
      <c r="E103" s="19" t="str">
        <f aca="false">IF($C103="","",IFERROR(INDEX(Estoque!$B$6:$B$45,MATCH($C103,Estoque!$A$6:$A$45,0)),"Código não encontrado"))</f>
        <v/>
      </c>
      <c r="F103" s="18"/>
      <c r="G103" s="18"/>
      <c r="H103" s="18"/>
      <c r="I103" s="20" t="str">
        <f aca="false">IF(OR($B103="",$C103=""),"",IF(OR($B103="Retorno de sobra",$B103="Saída de sobra"),IFERROR(VLOOKUP($G103,Listas!$A$2:$B$5,2,FALSE()),0)*IF($H103="",1,$H103),$H103))</f>
        <v/>
      </c>
      <c r="J103" s="21" t="str">
        <f aca="false">IF($C103="","",IF(ISNA(MATCH($C103,Estoque!$A$6:$A$45,0)),"⚠ Código não encontrado",IF(AND(OR($B103="Retorno de sobra",$B103="Saída de sobra"),$G103=""),"⚠ Escolha a medida da sobra",IF(AND(OR($B103="Entrada",$B103="Saída"),$H103=""),"⚠ Informe a quantidade","OK"))))</f>
        <v/>
      </c>
    </row>
    <row r="104" customFormat="false" ht="15" hidden="false" customHeight="false" outlineLevel="0" collapsed="false">
      <c r="A104" s="22"/>
      <c r="B104" s="18"/>
      <c r="C104" s="18"/>
      <c r="D104" s="19" t="str">
        <f aca="false">IF($C104="","",IFERROR(INDEX(Estoque!$C$6:$C$45,MATCH($C104,Estoque!$A$6:$A$45,0)),"Código não encontrado"))</f>
        <v/>
      </c>
      <c r="E104" s="19" t="str">
        <f aca="false">IF($C104="","",IFERROR(INDEX(Estoque!$B$6:$B$45,MATCH($C104,Estoque!$A$6:$A$45,0)),"Código não encontrado"))</f>
        <v/>
      </c>
      <c r="F104" s="18"/>
      <c r="G104" s="18"/>
      <c r="H104" s="18"/>
      <c r="I104" s="20" t="str">
        <f aca="false">IF(OR($B104="",$C104=""),"",IF(OR($B104="Retorno de sobra",$B104="Saída de sobra"),IFERROR(VLOOKUP($G104,Listas!$A$2:$B$5,2,FALSE()),0)*IF($H104="",1,$H104),$H104))</f>
        <v/>
      </c>
      <c r="J104" s="21" t="str">
        <f aca="false">IF($C104="","",IF(ISNA(MATCH($C104,Estoque!$A$6:$A$45,0)),"⚠ Código não encontrado",IF(AND(OR($B104="Retorno de sobra",$B104="Saída de sobra"),$G104=""),"⚠ Escolha a medida da sobra",IF(AND(OR($B104="Entrada",$B104="Saída"),$H104=""),"⚠ Informe a quantidade","OK"))))</f>
        <v/>
      </c>
    </row>
    <row r="105" customFormat="false" ht="15" hidden="false" customHeight="false" outlineLevel="0" collapsed="false">
      <c r="A105" s="22"/>
      <c r="B105" s="18"/>
      <c r="C105" s="18"/>
      <c r="D105" s="19" t="str">
        <f aca="false">IF($C105="","",IFERROR(INDEX(Estoque!$C$6:$C$45,MATCH($C105,Estoque!$A$6:$A$45,0)),"Código não encontrado"))</f>
        <v/>
      </c>
      <c r="E105" s="19" t="str">
        <f aca="false">IF($C105="","",IFERROR(INDEX(Estoque!$B$6:$B$45,MATCH($C105,Estoque!$A$6:$A$45,0)),"Código não encontrado"))</f>
        <v/>
      </c>
      <c r="F105" s="18"/>
      <c r="G105" s="18"/>
      <c r="H105" s="18"/>
      <c r="I105" s="20" t="str">
        <f aca="false">IF(OR($B105="",$C105=""),"",IF(OR($B105="Retorno de sobra",$B105="Saída de sobra"),IFERROR(VLOOKUP($G105,Listas!$A$2:$B$5,2,FALSE()),0)*IF($H105="",1,$H105),$H105))</f>
        <v/>
      </c>
      <c r="J105" s="21" t="str">
        <f aca="false">IF($C105="","",IF(ISNA(MATCH($C105,Estoque!$A$6:$A$45,0)),"⚠ Código não encontrado",IF(AND(OR($B105="Retorno de sobra",$B105="Saída de sobra"),$G105=""),"⚠ Escolha a medida da sobra",IF(AND(OR($B105="Entrada",$B105="Saída"),$H105=""),"⚠ Informe a quantidade","OK"))))</f>
        <v/>
      </c>
    </row>
    <row r="106" customFormat="false" ht="15" hidden="false" customHeight="false" outlineLevel="0" collapsed="false">
      <c r="A106" s="22"/>
      <c r="B106" s="18"/>
      <c r="C106" s="18"/>
      <c r="D106" s="19" t="str">
        <f aca="false">IF($C106="","",IFERROR(INDEX(Estoque!$C$6:$C$45,MATCH($C106,Estoque!$A$6:$A$45,0)),"Código não encontrado"))</f>
        <v/>
      </c>
      <c r="E106" s="19" t="str">
        <f aca="false">IF($C106="","",IFERROR(INDEX(Estoque!$B$6:$B$45,MATCH($C106,Estoque!$A$6:$A$45,0)),"Código não encontrado"))</f>
        <v/>
      </c>
      <c r="F106" s="18"/>
      <c r="G106" s="18"/>
      <c r="H106" s="18"/>
      <c r="I106" s="20" t="str">
        <f aca="false">IF(OR($B106="",$C106=""),"",IF(OR($B106="Retorno de sobra",$B106="Saída de sobra"),IFERROR(VLOOKUP($G106,Listas!$A$2:$B$5,2,FALSE()),0)*IF($H106="",1,$H106),$H106))</f>
        <v/>
      </c>
      <c r="J106" s="21" t="str">
        <f aca="false">IF($C106="","",IF(ISNA(MATCH($C106,Estoque!$A$6:$A$45,0)),"⚠ Código não encontrado",IF(AND(OR($B106="Retorno de sobra",$B106="Saída de sobra"),$G106=""),"⚠ Escolha a medida da sobra",IF(AND(OR($B106="Entrada",$B106="Saída"),$H106=""),"⚠ Informe a quantidade","OK"))))</f>
        <v/>
      </c>
    </row>
    <row r="107" customFormat="false" ht="15" hidden="false" customHeight="false" outlineLevel="0" collapsed="false">
      <c r="A107" s="22"/>
      <c r="B107" s="18"/>
      <c r="C107" s="18"/>
      <c r="D107" s="19" t="str">
        <f aca="false">IF($C107="","",IFERROR(INDEX(Estoque!$C$6:$C$45,MATCH($C107,Estoque!$A$6:$A$45,0)),"Código não encontrado"))</f>
        <v/>
      </c>
      <c r="E107" s="19" t="str">
        <f aca="false">IF($C107="","",IFERROR(INDEX(Estoque!$B$6:$B$45,MATCH($C107,Estoque!$A$6:$A$45,0)),"Código não encontrado"))</f>
        <v/>
      </c>
      <c r="F107" s="18"/>
      <c r="G107" s="18"/>
      <c r="H107" s="18"/>
      <c r="I107" s="20" t="str">
        <f aca="false">IF(OR($B107="",$C107=""),"",IF(OR($B107="Retorno de sobra",$B107="Saída de sobra"),IFERROR(VLOOKUP($G107,Listas!$A$2:$B$5,2,FALSE()),0)*IF($H107="",1,$H107),$H107))</f>
        <v/>
      </c>
      <c r="J107" s="21" t="str">
        <f aca="false">IF($C107="","",IF(ISNA(MATCH($C107,Estoque!$A$6:$A$45,0)),"⚠ Código não encontrado",IF(AND(OR($B107="Retorno de sobra",$B107="Saída de sobra"),$G107=""),"⚠ Escolha a medida da sobra",IF(AND(OR($B107="Entrada",$B107="Saída"),$H107=""),"⚠ Informe a quantidade","OK"))))</f>
        <v/>
      </c>
    </row>
    <row r="108" customFormat="false" ht="15" hidden="false" customHeight="false" outlineLevel="0" collapsed="false">
      <c r="A108" s="22"/>
      <c r="B108" s="18"/>
      <c r="C108" s="18"/>
      <c r="D108" s="19" t="str">
        <f aca="false">IF($C108="","",IFERROR(INDEX(Estoque!$C$6:$C$45,MATCH($C108,Estoque!$A$6:$A$45,0)),"Código não encontrado"))</f>
        <v/>
      </c>
      <c r="E108" s="19" t="str">
        <f aca="false">IF($C108="","",IFERROR(INDEX(Estoque!$B$6:$B$45,MATCH($C108,Estoque!$A$6:$A$45,0)),"Código não encontrado"))</f>
        <v/>
      </c>
      <c r="F108" s="18"/>
      <c r="G108" s="18"/>
      <c r="H108" s="18"/>
      <c r="I108" s="20" t="str">
        <f aca="false">IF(OR($B108="",$C108=""),"",IF(OR($B108="Retorno de sobra",$B108="Saída de sobra"),IFERROR(VLOOKUP($G108,Listas!$A$2:$B$5,2,FALSE()),0)*IF($H108="",1,$H108),$H108))</f>
        <v/>
      </c>
      <c r="J108" s="21" t="str">
        <f aca="false">IF($C108="","",IF(ISNA(MATCH($C108,Estoque!$A$6:$A$45,0)),"⚠ Código não encontrado",IF(AND(OR($B108="Retorno de sobra",$B108="Saída de sobra"),$G108=""),"⚠ Escolha a medida da sobra",IF(AND(OR($B108="Entrada",$B108="Saída"),$H108=""),"⚠ Informe a quantidade","OK"))))</f>
        <v/>
      </c>
    </row>
    <row r="109" customFormat="false" ht="15" hidden="false" customHeight="false" outlineLevel="0" collapsed="false">
      <c r="A109" s="22"/>
      <c r="B109" s="18"/>
      <c r="C109" s="18"/>
      <c r="D109" s="19" t="str">
        <f aca="false">IF($C109="","",IFERROR(INDEX(Estoque!$C$6:$C$45,MATCH($C109,Estoque!$A$6:$A$45,0)),"Código não encontrado"))</f>
        <v/>
      </c>
      <c r="E109" s="19" t="str">
        <f aca="false">IF($C109="","",IFERROR(INDEX(Estoque!$B$6:$B$45,MATCH($C109,Estoque!$A$6:$A$45,0)),"Código não encontrado"))</f>
        <v/>
      </c>
      <c r="F109" s="18"/>
      <c r="G109" s="18"/>
      <c r="H109" s="18"/>
      <c r="I109" s="20" t="str">
        <f aca="false">IF(OR($B109="",$C109=""),"",IF(OR($B109="Retorno de sobra",$B109="Saída de sobra"),IFERROR(VLOOKUP($G109,Listas!$A$2:$B$5,2,FALSE()),0)*IF($H109="",1,$H109),$H109))</f>
        <v/>
      </c>
      <c r="J109" s="21" t="str">
        <f aca="false">IF($C109="","",IF(ISNA(MATCH($C109,Estoque!$A$6:$A$45,0)),"⚠ Código não encontrado",IF(AND(OR($B109="Retorno de sobra",$B109="Saída de sobra"),$G109=""),"⚠ Escolha a medida da sobra",IF(AND(OR($B109="Entrada",$B109="Saída"),$H109=""),"⚠ Informe a quantidade","OK"))))</f>
        <v/>
      </c>
    </row>
    <row r="110" customFormat="false" ht="15" hidden="false" customHeight="false" outlineLevel="0" collapsed="false">
      <c r="A110" s="22"/>
      <c r="B110" s="18"/>
      <c r="C110" s="18"/>
      <c r="D110" s="19" t="str">
        <f aca="false">IF($C110="","",IFERROR(INDEX(Estoque!$C$6:$C$45,MATCH($C110,Estoque!$A$6:$A$45,0)),"Código não encontrado"))</f>
        <v/>
      </c>
      <c r="E110" s="19" t="str">
        <f aca="false">IF($C110="","",IFERROR(INDEX(Estoque!$B$6:$B$45,MATCH($C110,Estoque!$A$6:$A$45,0)),"Código não encontrado"))</f>
        <v/>
      </c>
      <c r="F110" s="18"/>
      <c r="G110" s="18"/>
      <c r="H110" s="18"/>
      <c r="I110" s="20" t="str">
        <f aca="false">IF(OR($B110="",$C110=""),"",IF(OR($B110="Retorno de sobra",$B110="Saída de sobra"),IFERROR(VLOOKUP($G110,Listas!$A$2:$B$5,2,FALSE()),0)*IF($H110="",1,$H110),$H110))</f>
        <v/>
      </c>
      <c r="J110" s="21" t="str">
        <f aca="false">IF($C110="","",IF(ISNA(MATCH($C110,Estoque!$A$6:$A$45,0)),"⚠ Código não encontrado",IF(AND(OR($B110="Retorno de sobra",$B110="Saída de sobra"),$G110=""),"⚠ Escolha a medida da sobra",IF(AND(OR($B110="Entrada",$B110="Saída"),$H110=""),"⚠ Informe a quantidade","OK"))))</f>
        <v/>
      </c>
    </row>
    <row r="111" customFormat="false" ht="15" hidden="false" customHeight="false" outlineLevel="0" collapsed="false">
      <c r="A111" s="22"/>
      <c r="B111" s="18"/>
      <c r="C111" s="18"/>
      <c r="D111" s="19" t="str">
        <f aca="false">IF($C111="","",IFERROR(INDEX(Estoque!$C$6:$C$45,MATCH($C111,Estoque!$A$6:$A$45,0)),"Código não encontrado"))</f>
        <v/>
      </c>
      <c r="E111" s="19" t="str">
        <f aca="false">IF($C111="","",IFERROR(INDEX(Estoque!$B$6:$B$45,MATCH($C111,Estoque!$A$6:$A$45,0)),"Código não encontrado"))</f>
        <v/>
      </c>
      <c r="F111" s="18"/>
      <c r="G111" s="18"/>
      <c r="H111" s="18"/>
      <c r="I111" s="20" t="str">
        <f aca="false">IF(OR($B111="",$C111=""),"",IF(OR($B111="Retorno de sobra",$B111="Saída de sobra"),IFERROR(VLOOKUP($G111,Listas!$A$2:$B$5,2,FALSE()),0)*IF($H111="",1,$H111),$H111))</f>
        <v/>
      </c>
      <c r="J111" s="21" t="str">
        <f aca="false">IF($C111="","",IF(ISNA(MATCH($C111,Estoque!$A$6:$A$45,0)),"⚠ Código não encontrado",IF(AND(OR($B111="Retorno de sobra",$B111="Saída de sobra"),$G111=""),"⚠ Escolha a medida da sobra",IF(AND(OR($B111="Entrada",$B111="Saída"),$H111=""),"⚠ Informe a quantidade","OK"))))</f>
        <v/>
      </c>
    </row>
    <row r="112" customFormat="false" ht="15" hidden="false" customHeight="false" outlineLevel="0" collapsed="false">
      <c r="A112" s="22"/>
      <c r="B112" s="18"/>
      <c r="C112" s="18"/>
      <c r="D112" s="19" t="str">
        <f aca="false">IF($C112="","",IFERROR(INDEX(Estoque!$C$6:$C$45,MATCH($C112,Estoque!$A$6:$A$45,0)),"Código não encontrado"))</f>
        <v/>
      </c>
      <c r="E112" s="19" t="str">
        <f aca="false">IF($C112="","",IFERROR(INDEX(Estoque!$B$6:$B$45,MATCH($C112,Estoque!$A$6:$A$45,0)),"Código não encontrado"))</f>
        <v/>
      </c>
      <c r="F112" s="18"/>
      <c r="G112" s="18"/>
      <c r="H112" s="18"/>
      <c r="I112" s="20" t="str">
        <f aca="false">IF(OR($B112="",$C112=""),"",IF(OR($B112="Retorno de sobra",$B112="Saída de sobra"),IFERROR(VLOOKUP($G112,Listas!$A$2:$B$5,2,FALSE()),0)*IF($H112="",1,$H112),$H112))</f>
        <v/>
      </c>
      <c r="J112" s="21" t="str">
        <f aca="false">IF($C112="","",IF(ISNA(MATCH($C112,Estoque!$A$6:$A$45,0)),"⚠ Código não encontrado",IF(AND(OR($B112="Retorno de sobra",$B112="Saída de sobra"),$G112=""),"⚠ Escolha a medida da sobra",IF(AND(OR($B112="Entrada",$B112="Saída"),$H112=""),"⚠ Informe a quantidade","OK"))))</f>
        <v/>
      </c>
    </row>
    <row r="113" customFormat="false" ht="15" hidden="false" customHeight="false" outlineLevel="0" collapsed="false">
      <c r="A113" s="22"/>
      <c r="B113" s="18"/>
      <c r="C113" s="18"/>
      <c r="D113" s="19" t="str">
        <f aca="false">IF($C113="","",IFERROR(INDEX(Estoque!$C$6:$C$45,MATCH($C113,Estoque!$A$6:$A$45,0)),"Código não encontrado"))</f>
        <v/>
      </c>
      <c r="E113" s="19" t="str">
        <f aca="false">IF($C113="","",IFERROR(INDEX(Estoque!$B$6:$B$45,MATCH($C113,Estoque!$A$6:$A$45,0)),"Código não encontrado"))</f>
        <v/>
      </c>
      <c r="F113" s="18"/>
      <c r="G113" s="18"/>
      <c r="H113" s="18"/>
      <c r="I113" s="20" t="str">
        <f aca="false">IF(OR($B113="",$C113=""),"",IF(OR($B113="Retorno de sobra",$B113="Saída de sobra"),IFERROR(VLOOKUP($G113,Listas!$A$2:$B$5,2,FALSE()),0)*IF($H113="",1,$H113),$H113))</f>
        <v/>
      </c>
      <c r="J113" s="21" t="str">
        <f aca="false">IF($C113="","",IF(ISNA(MATCH($C113,Estoque!$A$6:$A$45,0)),"⚠ Código não encontrado",IF(AND(OR($B113="Retorno de sobra",$B113="Saída de sobra"),$G113=""),"⚠ Escolha a medida da sobra",IF(AND(OR($B113="Entrada",$B113="Saída"),$H113=""),"⚠ Informe a quantidade","OK"))))</f>
        <v/>
      </c>
    </row>
    <row r="114" customFormat="false" ht="15" hidden="false" customHeight="false" outlineLevel="0" collapsed="false">
      <c r="A114" s="22"/>
      <c r="B114" s="18"/>
      <c r="C114" s="18"/>
      <c r="D114" s="19" t="str">
        <f aca="false">IF($C114="","",IFERROR(INDEX(Estoque!$C$6:$C$45,MATCH($C114,Estoque!$A$6:$A$45,0)),"Código não encontrado"))</f>
        <v/>
      </c>
      <c r="E114" s="19" t="str">
        <f aca="false">IF($C114="","",IFERROR(INDEX(Estoque!$B$6:$B$45,MATCH($C114,Estoque!$A$6:$A$45,0)),"Código não encontrado"))</f>
        <v/>
      </c>
      <c r="F114" s="18"/>
      <c r="G114" s="18"/>
      <c r="H114" s="18"/>
      <c r="I114" s="20" t="str">
        <f aca="false">IF(OR($B114="",$C114=""),"",IF(OR($B114="Retorno de sobra",$B114="Saída de sobra"),IFERROR(VLOOKUP($G114,Listas!$A$2:$B$5,2,FALSE()),0)*IF($H114="",1,$H114),$H114))</f>
        <v/>
      </c>
      <c r="J114" s="21" t="str">
        <f aca="false">IF($C114="","",IF(ISNA(MATCH($C114,Estoque!$A$6:$A$45,0)),"⚠ Código não encontrado",IF(AND(OR($B114="Retorno de sobra",$B114="Saída de sobra"),$G114=""),"⚠ Escolha a medida da sobra",IF(AND(OR($B114="Entrada",$B114="Saída"),$H114=""),"⚠ Informe a quantidade","OK"))))</f>
        <v/>
      </c>
    </row>
    <row r="115" customFormat="false" ht="15" hidden="false" customHeight="false" outlineLevel="0" collapsed="false">
      <c r="A115" s="22"/>
      <c r="B115" s="18"/>
      <c r="C115" s="18"/>
      <c r="D115" s="19" t="str">
        <f aca="false">IF($C115="","",IFERROR(INDEX(Estoque!$C$6:$C$45,MATCH($C115,Estoque!$A$6:$A$45,0)),"Código não encontrado"))</f>
        <v/>
      </c>
      <c r="E115" s="19" t="str">
        <f aca="false">IF($C115="","",IFERROR(INDEX(Estoque!$B$6:$B$45,MATCH($C115,Estoque!$A$6:$A$45,0)),"Código não encontrado"))</f>
        <v/>
      </c>
      <c r="F115" s="18"/>
      <c r="G115" s="18"/>
      <c r="H115" s="18"/>
      <c r="I115" s="20" t="str">
        <f aca="false">IF(OR($B115="",$C115=""),"",IF(OR($B115="Retorno de sobra",$B115="Saída de sobra"),IFERROR(VLOOKUP($G115,Listas!$A$2:$B$5,2,FALSE()),0)*IF($H115="",1,$H115),$H115))</f>
        <v/>
      </c>
      <c r="J115" s="21" t="str">
        <f aca="false">IF($C115="","",IF(ISNA(MATCH($C115,Estoque!$A$6:$A$45,0)),"⚠ Código não encontrado",IF(AND(OR($B115="Retorno de sobra",$B115="Saída de sobra"),$G115=""),"⚠ Escolha a medida da sobra",IF(AND(OR($B115="Entrada",$B115="Saída"),$H115=""),"⚠ Informe a quantidade","OK"))))</f>
        <v/>
      </c>
    </row>
    <row r="116" customFormat="false" ht="15" hidden="false" customHeight="false" outlineLevel="0" collapsed="false">
      <c r="A116" s="22"/>
      <c r="B116" s="18"/>
      <c r="C116" s="18"/>
      <c r="D116" s="19" t="str">
        <f aca="false">IF($C116="","",IFERROR(INDEX(Estoque!$C$6:$C$45,MATCH($C116,Estoque!$A$6:$A$45,0)),"Código não encontrado"))</f>
        <v/>
      </c>
      <c r="E116" s="19" t="str">
        <f aca="false">IF($C116="","",IFERROR(INDEX(Estoque!$B$6:$B$45,MATCH($C116,Estoque!$A$6:$A$45,0)),"Código não encontrado"))</f>
        <v/>
      </c>
      <c r="F116" s="18"/>
      <c r="G116" s="18"/>
      <c r="H116" s="18"/>
      <c r="I116" s="20" t="str">
        <f aca="false">IF(OR($B116="",$C116=""),"",IF(OR($B116="Retorno de sobra",$B116="Saída de sobra"),IFERROR(VLOOKUP($G116,Listas!$A$2:$B$5,2,FALSE()),0)*IF($H116="",1,$H116),$H116))</f>
        <v/>
      </c>
      <c r="J116" s="21" t="str">
        <f aca="false">IF($C116="","",IF(ISNA(MATCH($C116,Estoque!$A$6:$A$45,0)),"⚠ Código não encontrado",IF(AND(OR($B116="Retorno de sobra",$B116="Saída de sobra"),$G116=""),"⚠ Escolha a medida da sobra",IF(AND(OR($B116="Entrada",$B116="Saída"),$H116=""),"⚠ Informe a quantidade","OK"))))</f>
        <v/>
      </c>
    </row>
    <row r="117" customFormat="false" ht="15" hidden="false" customHeight="false" outlineLevel="0" collapsed="false">
      <c r="A117" s="22"/>
      <c r="B117" s="18"/>
      <c r="C117" s="18"/>
      <c r="D117" s="19" t="str">
        <f aca="false">IF($C117="","",IFERROR(INDEX(Estoque!$C$6:$C$45,MATCH($C117,Estoque!$A$6:$A$45,0)),"Código não encontrado"))</f>
        <v/>
      </c>
      <c r="E117" s="19" t="str">
        <f aca="false">IF($C117="","",IFERROR(INDEX(Estoque!$B$6:$B$45,MATCH($C117,Estoque!$A$6:$A$45,0)),"Código não encontrado"))</f>
        <v/>
      </c>
      <c r="F117" s="18"/>
      <c r="G117" s="18"/>
      <c r="H117" s="18"/>
      <c r="I117" s="20" t="str">
        <f aca="false">IF(OR($B117="",$C117=""),"",IF(OR($B117="Retorno de sobra",$B117="Saída de sobra"),IFERROR(VLOOKUP($G117,Listas!$A$2:$B$5,2,FALSE()),0)*IF($H117="",1,$H117),$H117))</f>
        <v/>
      </c>
      <c r="J117" s="21" t="str">
        <f aca="false">IF($C117="","",IF(ISNA(MATCH($C117,Estoque!$A$6:$A$45,0)),"⚠ Código não encontrado",IF(AND(OR($B117="Retorno de sobra",$B117="Saída de sobra"),$G117=""),"⚠ Escolha a medida da sobra",IF(AND(OR($B117="Entrada",$B117="Saída"),$H117=""),"⚠ Informe a quantidade","OK"))))</f>
        <v/>
      </c>
    </row>
    <row r="118" customFormat="false" ht="15" hidden="false" customHeight="false" outlineLevel="0" collapsed="false">
      <c r="A118" s="22"/>
      <c r="B118" s="18"/>
      <c r="C118" s="18"/>
      <c r="D118" s="19" t="str">
        <f aca="false">IF($C118="","",IFERROR(INDEX(Estoque!$C$6:$C$45,MATCH($C118,Estoque!$A$6:$A$45,0)),"Código não encontrado"))</f>
        <v/>
      </c>
      <c r="E118" s="19" t="str">
        <f aca="false">IF($C118="","",IFERROR(INDEX(Estoque!$B$6:$B$45,MATCH($C118,Estoque!$A$6:$A$45,0)),"Código não encontrado"))</f>
        <v/>
      </c>
      <c r="F118" s="18"/>
      <c r="G118" s="18"/>
      <c r="H118" s="18"/>
      <c r="I118" s="20" t="str">
        <f aca="false">IF(OR($B118="",$C118=""),"",IF(OR($B118="Retorno de sobra",$B118="Saída de sobra"),IFERROR(VLOOKUP($G118,Listas!$A$2:$B$5,2,FALSE()),0)*IF($H118="",1,$H118),$H118))</f>
        <v/>
      </c>
      <c r="J118" s="21" t="str">
        <f aca="false">IF($C118="","",IF(ISNA(MATCH($C118,Estoque!$A$6:$A$45,0)),"⚠ Código não encontrado",IF(AND(OR($B118="Retorno de sobra",$B118="Saída de sobra"),$G118=""),"⚠ Escolha a medida da sobra",IF(AND(OR($B118="Entrada",$B118="Saída"),$H118=""),"⚠ Informe a quantidade","OK"))))</f>
        <v/>
      </c>
    </row>
    <row r="119" customFormat="false" ht="15" hidden="false" customHeight="false" outlineLevel="0" collapsed="false">
      <c r="A119" s="22"/>
      <c r="B119" s="18"/>
      <c r="C119" s="18"/>
      <c r="D119" s="19" t="str">
        <f aca="false">IF($C119="","",IFERROR(INDEX(Estoque!$C$6:$C$45,MATCH($C119,Estoque!$A$6:$A$45,0)),"Código não encontrado"))</f>
        <v/>
      </c>
      <c r="E119" s="19" t="str">
        <f aca="false">IF($C119="","",IFERROR(INDEX(Estoque!$B$6:$B$45,MATCH($C119,Estoque!$A$6:$A$45,0)),"Código não encontrado"))</f>
        <v/>
      </c>
      <c r="F119" s="18"/>
      <c r="G119" s="18"/>
      <c r="H119" s="18"/>
      <c r="I119" s="20" t="str">
        <f aca="false">IF(OR($B119="",$C119=""),"",IF(OR($B119="Retorno de sobra",$B119="Saída de sobra"),IFERROR(VLOOKUP($G119,Listas!$A$2:$B$5,2,FALSE()),0)*IF($H119="",1,$H119),$H119))</f>
        <v/>
      </c>
      <c r="J119" s="21" t="str">
        <f aca="false">IF($C119="","",IF(ISNA(MATCH($C119,Estoque!$A$6:$A$45,0)),"⚠ Código não encontrado",IF(AND(OR($B119="Retorno de sobra",$B119="Saída de sobra"),$G119=""),"⚠ Escolha a medida da sobra",IF(AND(OR($B119="Entrada",$B119="Saída"),$H119=""),"⚠ Informe a quantidade","OK"))))</f>
        <v/>
      </c>
    </row>
    <row r="120" customFormat="false" ht="15" hidden="false" customHeight="false" outlineLevel="0" collapsed="false">
      <c r="A120" s="22"/>
      <c r="B120" s="18"/>
      <c r="C120" s="18"/>
      <c r="D120" s="19" t="str">
        <f aca="false">IF($C120="","",IFERROR(INDEX(Estoque!$C$6:$C$45,MATCH($C120,Estoque!$A$6:$A$45,0)),"Código não encontrado"))</f>
        <v/>
      </c>
      <c r="E120" s="19" t="str">
        <f aca="false">IF($C120="","",IFERROR(INDEX(Estoque!$B$6:$B$45,MATCH($C120,Estoque!$A$6:$A$45,0)),"Código não encontrado"))</f>
        <v/>
      </c>
      <c r="F120" s="18"/>
      <c r="G120" s="18"/>
      <c r="H120" s="18"/>
      <c r="I120" s="20" t="str">
        <f aca="false">IF(OR($B120="",$C120=""),"",IF(OR($B120="Retorno de sobra",$B120="Saída de sobra"),IFERROR(VLOOKUP($G120,Listas!$A$2:$B$5,2,FALSE()),0)*IF($H120="",1,$H120),$H120))</f>
        <v/>
      </c>
      <c r="J120" s="21" t="str">
        <f aca="false">IF($C120="","",IF(ISNA(MATCH($C120,Estoque!$A$6:$A$45,0)),"⚠ Código não encontrado",IF(AND(OR($B120="Retorno de sobra",$B120="Saída de sobra"),$G120=""),"⚠ Escolha a medida da sobra",IF(AND(OR($B120="Entrada",$B120="Saída"),$H120=""),"⚠ Informe a quantidade","OK"))))</f>
        <v/>
      </c>
    </row>
    <row r="121" customFormat="false" ht="15" hidden="false" customHeight="false" outlineLevel="0" collapsed="false">
      <c r="A121" s="22"/>
      <c r="B121" s="18"/>
      <c r="C121" s="18"/>
      <c r="D121" s="19" t="str">
        <f aca="false">IF($C121="","",IFERROR(INDEX(Estoque!$C$6:$C$45,MATCH($C121,Estoque!$A$6:$A$45,0)),"Código não encontrado"))</f>
        <v/>
      </c>
      <c r="E121" s="19" t="str">
        <f aca="false">IF($C121="","",IFERROR(INDEX(Estoque!$B$6:$B$45,MATCH($C121,Estoque!$A$6:$A$45,0)),"Código não encontrado"))</f>
        <v/>
      </c>
      <c r="F121" s="18"/>
      <c r="G121" s="18"/>
      <c r="H121" s="18"/>
      <c r="I121" s="20" t="str">
        <f aca="false">IF(OR($B121="",$C121=""),"",IF(OR($B121="Retorno de sobra",$B121="Saída de sobra"),IFERROR(VLOOKUP($G121,Listas!$A$2:$B$5,2,FALSE()),0)*IF($H121="",1,$H121),$H121))</f>
        <v/>
      </c>
      <c r="J121" s="21" t="str">
        <f aca="false">IF($C121="","",IF(ISNA(MATCH($C121,Estoque!$A$6:$A$45,0)),"⚠ Código não encontrado",IF(AND(OR($B121="Retorno de sobra",$B121="Saída de sobra"),$G121=""),"⚠ Escolha a medida da sobra",IF(AND(OR($B121="Entrada",$B121="Saída"),$H121=""),"⚠ Informe a quantidade","OK"))))</f>
        <v/>
      </c>
    </row>
    <row r="122" customFormat="false" ht="15" hidden="false" customHeight="false" outlineLevel="0" collapsed="false">
      <c r="A122" s="22"/>
      <c r="B122" s="18"/>
      <c r="C122" s="18"/>
      <c r="D122" s="19" t="str">
        <f aca="false">IF($C122="","",IFERROR(INDEX(Estoque!$C$6:$C$45,MATCH($C122,Estoque!$A$6:$A$45,0)),"Código não encontrado"))</f>
        <v/>
      </c>
      <c r="E122" s="19" t="str">
        <f aca="false">IF($C122="","",IFERROR(INDEX(Estoque!$B$6:$B$45,MATCH($C122,Estoque!$A$6:$A$45,0)),"Código não encontrado"))</f>
        <v/>
      </c>
      <c r="F122" s="18"/>
      <c r="G122" s="18"/>
      <c r="H122" s="18"/>
      <c r="I122" s="20" t="str">
        <f aca="false">IF(OR($B122="",$C122=""),"",IF(OR($B122="Retorno de sobra",$B122="Saída de sobra"),IFERROR(VLOOKUP($G122,Listas!$A$2:$B$5,2,FALSE()),0)*IF($H122="",1,$H122),$H122))</f>
        <v/>
      </c>
      <c r="J122" s="21" t="str">
        <f aca="false">IF($C122="","",IF(ISNA(MATCH($C122,Estoque!$A$6:$A$45,0)),"⚠ Código não encontrado",IF(AND(OR($B122="Retorno de sobra",$B122="Saída de sobra"),$G122=""),"⚠ Escolha a medida da sobra",IF(AND(OR($B122="Entrada",$B122="Saída"),$H122=""),"⚠ Informe a quantidade","OK"))))</f>
        <v/>
      </c>
    </row>
    <row r="123" customFormat="false" ht="15" hidden="false" customHeight="false" outlineLevel="0" collapsed="false">
      <c r="A123" s="22"/>
      <c r="B123" s="18"/>
      <c r="C123" s="18"/>
      <c r="D123" s="19" t="str">
        <f aca="false">IF($C123="","",IFERROR(INDEX(Estoque!$C$6:$C$45,MATCH($C123,Estoque!$A$6:$A$45,0)),"Código não encontrado"))</f>
        <v/>
      </c>
      <c r="E123" s="19" t="str">
        <f aca="false">IF($C123="","",IFERROR(INDEX(Estoque!$B$6:$B$45,MATCH($C123,Estoque!$A$6:$A$45,0)),"Código não encontrado"))</f>
        <v/>
      </c>
      <c r="F123" s="18"/>
      <c r="G123" s="18"/>
      <c r="H123" s="18"/>
      <c r="I123" s="20" t="str">
        <f aca="false">IF(OR($B123="",$C123=""),"",IF(OR($B123="Retorno de sobra",$B123="Saída de sobra"),IFERROR(VLOOKUP($G123,Listas!$A$2:$B$5,2,FALSE()),0)*IF($H123="",1,$H123),$H123))</f>
        <v/>
      </c>
      <c r="J123" s="21" t="str">
        <f aca="false">IF($C123="","",IF(ISNA(MATCH($C123,Estoque!$A$6:$A$45,0)),"⚠ Código não encontrado",IF(AND(OR($B123="Retorno de sobra",$B123="Saída de sobra"),$G123=""),"⚠ Escolha a medida da sobra",IF(AND(OR($B123="Entrada",$B123="Saída"),$H123=""),"⚠ Informe a quantidade","OK"))))</f>
        <v/>
      </c>
    </row>
    <row r="124" customFormat="false" ht="15" hidden="false" customHeight="false" outlineLevel="0" collapsed="false">
      <c r="A124" s="22"/>
      <c r="B124" s="18"/>
      <c r="C124" s="18"/>
      <c r="D124" s="19" t="str">
        <f aca="false">IF($C124="","",IFERROR(INDEX(Estoque!$C$6:$C$45,MATCH($C124,Estoque!$A$6:$A$45,0)),"Código não encontrado"))</f>
        <v/>
      </c>
      <c r="E124" s="19" t="str">
        <f aca="false">IF($C124="","",IFERROR(INDEX(Estoque!$B$6:$B$45,MATCH($C124,Estoque!$A$6:$A$45,0)),"Código não encontrado"))</f>
        <v/>
      </c>
      <c r="F124" s="18"/>
      <c r="G124" s="18"/>
      <c r="H124" s="18"/>
      <c r="I124" s="20" t="str">
        <f aca="false">IF(OR($B124="",$C124=""),"",IF(OR($B124="Retorno de sobra",$B124="Saída de sobra"),IFERROR(VLOOKUP($G124,Listas!$A$2:$B$5,2,FALSE()),0)*IF($H124="",1,$H124),$H124))</f>
        <v/>
      </c>
      <c r="J124" s="21" t="str">
        <f aca="false">IF($C124="","",IF(ISNA(MATCH($C124,Estoque!$A$6:$A$45,0)),"⚠ Código não encontrado",IF(AND(OR($B124="Retorno de sobra",$B124="Saída de sobra"),$G124=""),"⚠ Escolha a medida da sobra",IF(AND(OR($B124="Entrada",$B124="Saída"),$H124=""),"⚠ Informe a quantidade","OK"))))</f>
        <v/>
      </c>
    </row>
    <row r="125" customFormat="false" ht="15" hidden="false" customHeight="false" outlineLevel="0" collapsed="false">
      <c r="A125" s="22"/>
      <c r="B125" s="18"/>
      <c r="C125" s="18"/>
      <c r="D125" s="19" t="str">
        <f aca="false">IF($C125="","",IFERROR(INDEX(Estoque!$C$6:$C$45,MATCH($C125,Estoque!$A$6:$A$45,0)),"Código não encontrado"))</f>
        <v/>
      </c>
      <c r="E125" s="19" t="str">
        <f aca="false">IF($C125="","",IFERROR(INDEX(Estoque!$B$6:$B$45,MATCH($C125,Estoque!$A$6:$A$45,0)),"Código não encontrado"))</f>
        <v/>
      </c>
      <c r="F125" s="18"/>
      <c r="G125" s="18"/>
      <c r="H125" s="18"/>
      <c r="I125" s="20" t="str">
        <f aca="false">IF(OR($B125="",$C125=""),"",IF(OR($B125="Retorno de sobra",$B125="Saída de sobra"),IFERROR(VLOOKUP($G125,Listas!$A$2:$B$5,2,FALSE()),0)*IF($H125="",1,$H125),$H125))</f>
        <v/>
      </c>
      <c r="J125" s="21" t="str">
        <f aca="false">IF($C125="","",IF(ISNA(MATCH($C125,Estoque!$A$6:$A$45,0)),"⚠ Código não encontrado",IF(AND(OR($B125="Retorno de sobra",$B125="Saída de sobra"),$G125=""),"⚠ Escolha a medida da sobra",IF(AND(OR($B125="Entrada",$B125="Saída"),$H125=""),"⚠ Informe a quantidade","OK"))))</f>
        <v/>
      </c>
    </row>
    <row r="126" customFormat="false" ht="15" hidden="false" customHeight="false" outlineLevel="0" collapsed="false">
      <c r="A126" s="22"/>
      <c r="B126" s="18"/>
      <c r="C126" s="18"/>
      <c r="D126" s="19" t="str">
        <f aca="false">IF($C126="","",IFERROR(INDEX(Estoque!$C$6:$C$45,MATCH($C126,Estoque!$A$6:$A$45,0)),"Código não encontrado"))</f>
        <v/>
      </c>
      <c r="E126" s="19" t="str">
        <f aca="false">IF($C126="","",IFERROR(INDEX(Estoque!$B$6:$B$45,MATCH($C126,Estoque!$A$6:$A$45,0)),"Código não encontrado"))</f>
        <v/>
      </c>
      <c r="F126" s="18"/>
      <c r="G126" s="18"/>
      <c r="H126" s="18"/>
      <c r="I126" s="20" t="str">
        <f aca="false">IF(OR($B126="",$C126=""),"",IF(OR($B126="Retorno de sobra",$B126="Saída de sobra"),IFERROR(VLOOKUP($G126,Listas!$A$2:$B$5,2,FALSE()),0)*IF($H126="",1,$H126),$H126))</f>
        <v/>
      </c>
      <c r="J126" s="21" t="str">
        <f aca="false">IF($C126="","",IF(ISNA(MATCH($C126,Estoque!$A$6:$A$45,0)),"⚠ Código não encontrado",IF(AND(OR($B126="Retorno de sobra",$B126="Saída de sobra"),$G126=""),"⚠ Escolha a medida da sobra",IF(AND(OR($B126="Entrada",$B126="Saída"),$H126=""),"⚠ Informe a quantidade","OK"))))</f>
        <v/>
      </c>
    </row>
    <row r="127" customFormat="false" ht="15" hidden="false" customHeight="false" outlineLevel="0" collapsed="false">
      <c r="A127" s="22"/>
      <c r="B127" s="18"/>
      <c r="C127" s="18"/>
      <c r="D127" s="19" t="str">
        <f aca="false">IF($C127="","",IFERROR(INDEX(Estoque!$C$6:$C$45,MATCH($C127,Estoque!$A$6:$A$45,0)),"Código não encontrado"))</f>
        <v/>
      </c>
      <c r="E127" s="19" t="str">
        <f aca="false">IF($C127="","",IFERROR(INDEX(Estoque!$B$6:$B$45,MATCH($C127,Estoque!$A$6:$A$45,0)),"Código não encontrado"))</f>
        <v/>
      </c>
      <c r="F127" s="18"/>
      <c r="G127" s="18"/>
      <c r="H127" s="18"/>
      <c r="I127" s="20" t="str">
        <f aca="false">IF(OR($B127="",$C127=""),"",IF(OR($B127="Retorno de sobra",$B127="Saída de sobra"),IFERROR(VLOOKUP($G127,Listas!$A$2:$B$5,2,FALSE()),0)*IF($H127="",1,$H127),$H127))</f>
        <v/>
      </c>
      <c r="J127" s="21" t="str">
        <f aca="false">IF($C127="","",IF(ISNA(MATCH($C127,Estoque!$A$6:$A$45,0)),"⚠ Código não encontrado",IF(AND(OR($B127="Retorno de sobra",$B127="Saída de sobra"),$G127=""),"⚠ Escolha a medida da sobra",IF(AND(OR($B127="Entrada",$B127="Saída"),$H127=""),"⚠ Informe a quantidade","OK"))))</f>
        <v/>
      </c>
    </row>
    <row r="128" customFormat="false" ht="15" hidden="false" customHeight="false" outlineLevel="0" collapsed="false">
      <c r="A128" s="22"/>
      <c r="B128" s="18"/>
      <c r="C128" s="18"/>
      <c r="D128" s="19" t="str">
        <f aca="false">IF($C128="","",IFERROR(INDEX(Estoque!$C$6:$C$45,MATCH($C128,Estoque!$A$6:$A$45,0)),"Código não encontrado"))</f>
        <v/>
      </c>
      <c r="E128" s="19" t="str">
        <f aca="false">IF($C128="","",IFERROR(INDEX(Estoque!$B$6:$B$45,MATCH($C128,Estoque!$A$6:$A$45,0)),"Código não encontrado"))</f>
        <v/>
      </c>
      <c r="F128" s="18"/>
      <c r="G128" s="18"/>
      <c r="H128" s="18"/>
      <c r="I128" s="20" t="str">
        <f aca="false">IF(OR($B128="",$C128=""),"",IF(OR($B128="Retorno de sobra",$B128="Saída de sobra"),IFERROR(VLOOKUP($G128,Listas!$A$2:$B$5,2,FALSE()),0)*IF($H128="",1,$H128),$H128))</f>
        <v/>
      </c>
      <c r="J128" s="21" t="str">
        <f aca="false">IF($C128="","",IF(ISNA(MATCH($C128,Estoque!$A$6:$A$45,0)),"⚠ Código não encontrado",IF(AND(OR($B128="Retorno de sobra",$B128="Saída de sobra"),$G128=""),"⚠ Escolha a medida da sobra",IF(AND(OR($B128="Entrada",$B128="Saída"),$H128=""),"⚠ Informe a quantidade","OK"))))</f>
        <v/>
      </c>
    </row>
    <row r="129" customFormat="false" ht="15" hidden="false" customHeight="false" outlineLevel="0" collapsed="false">
      <c r="A129" s="22"/>
      <c r="B129" s="18"/>
      <c r="C129" s="18"/>
      <c r="D129" s="19" t="str">
        <f aca="false">IF($C129="","",IFERROR(INDEX(Estoque!$C$6:$C$45,MATCH($C129,Estoque!$A$6:$A$45,0)),"Código não encontrado"))</f>
        <v/>
      </c>
      <c r="E129" s="19" t="str">
        <f aca="false">IF($C129="","",IFERROR(INDEX(Estoque!$B$6:$B$45,MATCH($C129,Estoque!$A$6:$A$45,0)),"Código não encontrado"))</f>
        <v/>
      </c>
      <c r="F129" s="18"/>
      <c r="G129" s="18"/>
      <c r="H129" s="18"/>
      <c r="I129" s="20" t="str">
        <f aca="false">IF(OR($B129="",$C129=""),"",IF(OR($B129="Retorno de sobra",$B129="Saída de sobra"),IFERROR(VLOOKUP($G129,Listas!$A$2:$B$5,2,FALSE()),0)*IF($H129="",1,$H129),$H129))</f>
        <v/>
      </c>
      <c r="J129" s="21" t="str">
        <f aca="false">IF($C129="","",IF(ISNA(MATCH($C129,Estoque!$A$6:$A$45,0)),"⚠ Código não encontrado",IF(AND(OR($B129="Retorno de sobra",$B129="Saída de sobra"),$G129=""),"⚠ Escolha a medida da sobra",IF(AND(OR($B129="Entrada",$B129="Saída"),$H129=""),"⚠ Informe a quantidade","OK"))))</f>
        <v/>
      </c>
    </row>
    <row r="130" customFormat="false" ht="15" hidden="false" customHeight="false" outlineLevel="0" collapsed="false">
      <c r="A130" s="22"/>
      <c r="B130" s="18"/>
      <c r="C130" s="18"/>
      <c r="D130" s="19" t="str">
        <f aca="false">IF($C130="","",IFERROR(INDEX(Estoque!$C$6:$C$45,MATCH($C130,Estoque!$A$6:$A$45,0)),"Código não encontrado"))</f>
        <v/>
      </c>
      <c r="E130" s="19" t="str">
        <f aca="false">IF($C130="","",IFERROR(INDEX(Estoque!$B$6:$B$45,MATCH($C130,Estoque!$A$6:$A$45,0)),"Código não encontrado"))</f>
        <v/>
      </c>
      <c r="F130" s="18"/>
      <c r="G130" s="18"/>
      <c r="H130" s="18"/>
      <c r="I130" s="20" t="str">
        <f aca="false">IF(OR($B130="",$C130=""),"",IF(OR($B130="Retorno de sobra",$B130="Saída de sobra"),IFERROR(VLOOKUP($G130,Listas!$A$2:$B$5,2,FALSE()),0)*IF($H130="",1,$H130),$H130))</f>
        <v/>
      </c>
      <c r="J130" s="21" t="str">
        <f aca="false">IF($C130="","",IF(ISNA(MATCH($C130,Estoque!$A$6:$A$45,0)),"⚠ Código não encontrado",IF(AND(OR($B130="Retorno de sobra",$B130="Saída de sobra"),$G130=""),"⚠ Escolha a medida da sobra",IF(AND(OR($B130="Entrada",$B130="Saída"),$H130=""),"⚠ Informe a quantidade","OK"))))</f>
        <v/>
      </c>
    </row>
    <row r="131" customFormat="false" ht="15" hidden="false" customHeight="false" outlineLevel="0" collapsed="false">
      <c r="A131" s="22"/>
      <c r="B131" s="18"/>
      <c r="C131" s="18"/>
      <c r="D131" s="19" t="str">
        <f aca="false">IF($C131="","",IFERROR(INDEX(Estoque!$C$6:$C$45,MATCH($C131,Estoque!$A$6:$A$45,0)),"Código não encontrado"))</f>
        <v/>
      </c>
      <c r="E131" s="19" t="str">
        <f aca="false">IF($C131="","",IFERROR(INDEX(Estoque!$B$6:$B$45,MATCH($C131,Estoque!$A$6:$A$45,0)),"Código não encontrado"))</f>
        <v/>
      </c>
      <c r="F131" s="18"/>
      <c r="G131" s="18"/>
      <c r="H131" s="18"/>
      <c r="I131" s="20" t="str">
        <f aca="false">IF(OR($B131="",$C131=""),"",IF(OR($B131="Retorno de sobra",$B131="Saída de sobra"),IFERROR(VLOOKUP($G131,Listas!$A$2:$B$5,2,FALSE()),0)*IF($H131="",1,$H131),$H131))</f>
        <v/>
      </c>
      <c r="J131" s="21" t="str">
        <f aca="false">IF($C131="","",IF(ISNA(MATCH($C131,Estoque!$A$6:$A$45,0)),"⚠ Código não encontrado",IF(AND(OR($B131="Retorno de sobra",$B131="Saída de sobra"),$G131=""),"⚠ Escolha a medida da sobra",IF(AND(OR($B131="Entrada",$B131="Saída"),$H131=""),"⚠ Informe a quantidade","OK"))))</f>
        <v/>
      </c>
    </row>
    <row r="132" customFormat="false" ht="15" hidden="false" customHeight="false" outlineLevel="0" collapsed="false">
      <c r="A132" s="22"/>
      <c r="B132" s="18"/>
      <c r="C132" s="18"/>
      <c r="D132" s="19" t="str">
        <f aca="false">IF($C132="","",IFERROR(INDEX(Estoque!$C$6:$C$45,MATCH($C132,Estoque!$A$6:$A$45,0)),"Código não encontrado"))</f>
        <v/>
      </c>
      <c r="E132" s="19" t="str">
        <f aca="false">IF($C132="","",IFERROR(INDEX(Estoque!$B$6:$B$45,MATCH($C132,Estoque!$A$6:$A$45,0)),"Código não encontrado"))</f>
        <v/>
      </c>
      <c r="F132" s="18"/>
      <c r="G132" s="18"/>
      <c r="H132" s="18"/>
      <c r="I132" s="20" t="str">
        <f aca="false">IF(OR($B132="",$C132=""),"",IF(OR($B132="Retorno de sobra",$B132="Saída de sobra"),IFERROR(VLOOKUP($G132,Listas!$A$2:$B$5,2,FALSE()),0)*IF($H132="",1,$H132),$H132))</f>
        <v/>
      </c>
      <c r="J132" s="21" t="str">
        <f aca="false">IF($C132="","",IF(ISNA(MATCH($C132,Estoque!$A$6:$A$45,0)),"⚠ Código não encontrado",IF(AND(OR($B132="Retorno de sobra",$B132="Saída de sobra"),$G132=""),"⚠ Escolha a medida da sobra",IF(AND(OR($B132="Entrada",$B132="Saída"),$H132=""),"⚠ Informe a quantidade","OK"))))</f>
        <v/>
      </c>
    </row>
    <row r="133" customFormat="false" ht="15" hidden="false" customHeight="false" outlineLevel="0" collapsed="false">
      <c r="A133" s="22"/>
      <c r="B133" s="18"/>
      <c r="C133" s="18"/>
      <c r="D133" s="19" t="str">
        <f aca="false">IF($C133="","",IFERROR(INDEX(Estoque!$C$6:$C$45,MATCH($C133,Estoque!$A$6:$A$45,0)),"Código não encontrado"))</f>
        <v/>
      </c>
      <c r="E133" s="19" t="str">
        <f aca="false">IF($C133="","",IFERROR(INDEX(Estoque!$B$6:$B$45,MATCH($C133,Estoque!$A$6:$A$45,0)),"Código não encontrado"))</f>
        <v/>
      </c>
      <c r="F133" s="18"/>
      <c r="G133" s="18"/>
      <c r="H133" s="18"/>
      <c r="I133" s="20" t="str">
        <f aca="false">IF(OR($B133="",$C133=""),"",IF(OR($B133="Retorno de sobra",$B133="Saída de sobra"),IFERROR(VLOOKUP($G133,Listas!$A$2:$B$5,2,FALSE()),0)*IF($H133="",1,$H133),$H133))</f>
        <v/>
      </c>
      <c r="J133" s="21" t="str">
        <f aca="false">IF($C133="","",IF(ISNA(MATCH($C133,Estoque!$A$6:$A$45,0)),"⚠ Código não encontrado",IF(AND(OR($B133="Retorno de sobra",$B133="Saída de sobra"),$G133=""),"⚠ Escolha a medida da sobra",IF(AND(OR($B133="Entrada",$B133="Saída"),$H133=""),"⚠ Informe a quantidade","OK"))))</f>
        <v/>
      </c>
    </row>
    <row r="134" customFormat="false" ht="15" hidden="false" customHeight="false" outlineLevel="0" collapsed="false">
      <c r="A134" s="22"/>
      <c r="B134" s="18"/>
      <c r="C134" s="18"/>
      <c r="D134" s="19" t="str">
        <f aca="false">IF($C134="","",IFERROR(INDEX(Estoque!$C$6:$C$45,MATCH($C134,Estoque!$A$6:$A$45,0)),"Código não encontrado"))</f>
        <v/>
      </c>
      <c r="E134" s="19" t="str">
        <f aca="false">IF($C134="","",IFERROR(INDEX(Estoque!$B$6:$B$45,MATCH($C134,Estoque!$A$6:$A$45,0)),"Código não encontrado"))</f>
        <v/>
      </c>
      <c r="F134" s="18"/>
      <c r="G134" s="18"/>
      <c r="H134" s="18"/>
      <c r="I134" s="20" t="str">
        <f aca="false">IF(OR($B134="",$C134=""),"",IF(OR($B134="Retorno de sobra",$B134="Saída de sobra"),IFERROR(VLOOKUP($G134,Listas!$A$2:$B$5,2,FALSE()),0)*IF($H134="",1,$H134),$H134))</f>
        <v/>
      </c>
      <c r="J134" s="21" t="str">
        <f aca="false">IF($C134="","",IF(ISNA(MATCH($C134,Estoque!$A$6:$A$45,0)),"⚠ Código não encontrado",IF(AND(OR($B134="Retorno de sobra",$B134="Saída de sobra"),$G134=""),"⚠ Escolha a medida da sobra",IF(AND(OR($B134="Entrada",$B134="Saída"),$H134=""),"⚠ Informe a quantidade","OK"))))</f>
        <v/>
      </c>
    </row>
    <row r="135" customFormat="false" ht="15" hidden="false" customHeight="false" outlineLevel="0" collapsed="false">
      <c r="A135" s="22"/>
      <c r="B135" s="18"/>
      <c r="C135" s="18"/>
      <c r="D135" s="19" t="str">
        <f aca="false">IF($C135="","",IFERROR(INDEX(Estoque!$C$6:$C$45,MATCH($C135,Estoque!$A$6:$A$45,0)),"Código não encontrado"))</f>
        <v/>
      </c>
      <c r="E135" s="19" t="str">
        <f aca="false">IF($C135="","",IFERROR(INDEX(Estoque!$B$6:$B$45,MATCH($C135,Estoque!$A$6:$A$45,0)),"Código não encontrado"))</f>
        <v/>
      </c>
      <c r="F135" s="18"/>
      <c r="G135" s="18"/>
      <c r="H135" s="18"/>
      <c r="I135" s="20" t="str">
        <f aca="false">IF(OR($B135="",$C135=""),"",IF(OR($B135="Retorno de sobra",$B135="Saída de sobra"),IFERROR(VLOOKUP($G135,Listas!$A$2:$B$5,2,FALSE()),0)*IF($H135="",1,$H135),$H135))</f>
        <v/>
      </c>
      <c r="J135" s="21" t="str">
        <f aca="false">IF($C135="","",IF(ISNA(MATCH($C135,Estoque!$A$6:$A$45,0)),"⚠ Código não encontrado",IF(AND(OR($B135="Retorno de sobra",$B135="Saída de sobra"),$G135=""),"⚠ Escolha a medida da sobra",IF(AND(OR($B135="Entrada",$B135="Saída"),$H135=""),"⚠ Informe a quantidade","OK"))))</f>
        <v/>
      </c>
    </row>
    <row r="136" customFormat="false" ht="15" hidden="false" customHeight="false" outlineLevel="0" collapsed="false">
      <c r="A136" s="22"/>
      <c r="B136" s="18"/>
      <c r="C136" s="18"/>
      <c r="D136" s="19" t="str">
        <f aca="false">IF($C136="","",IFERROR(INDEX(Estoque!$C$6:$C$45,MATCH($C136,Estoque!$A$6:$A$45,0)),"Código não encontrado"))</f>
        <v/>
      </c>
      <c r="E136" s="19" t="str">
        <f aca="false">IF($C136="","",IFERROR(INDEX(Estoque!$B$6:$B$45,MATCH($C136,Estoque!$A$6:$A$45,0)),"Código não encontrado"))</f>
        <v/>
      </c>
      <c r="F136" s="18"/>
      <c r="G136" s="18"/>
      <c r="H136" s="18"/>
      <c r="I136" s="20" t="str">
        <f aca="false">IF(OR($B136="",$C136=""),"",IF(OR($B136="Retorno de sobra",$B136="Saída de sobra"),IFERROR(VLOOKUP($G136,Listas!$A$2:$B$5,2,FALSE()),0)*IF($H136="",1,$H136),$H136))</f>
        <v/>
      </c>
      <c r="J136" s="21" t="str">
        <f aca="false">IF($C136="","",IF(ISNA(MATCH($C136,Estoque!$A$6:$A$45,0)),"⚠ Código não encontrado",IF(AND(OR($B136="Retorno de sobra",$B136="Saída de sobra"),$G136=""),"⚠ Escolha a medida da sobra",IF(AND(OR($B136="Entrada",$B136="Saída"),$H136=""),"⚠ Informe a quantidade","OK"))))</f>
        <v/>
      </c>
    </row>
    <row r="137" customFormat="false" ht="15" hidden="false" customHeight="false" outlineLevel="0" collapsed="false">
      <c r="A137" s="22"/>
      <c r="B137" s="18"/>
      <c r="C137" s="18"/>
      <c r="D137" s="19" t="str">
        <f aca="false">IF($C137="","",IFERROR(INDEX(Estoque!$C$6:$C$45,MATCH($C137,Estoque!$A$6:$A$45,0)),"Código não encontrado"))</f>
        <v/>
      </c>
      <c r="E137" s="19" t="str">
        <f aca="false">IF($C137="","",IFERROR(INDEX(Estoque!$B$6:$B$45,MATCH($C137,Estoque!$A$6:$A$45,0)),"Código não encontrado"))</f>
        <v/>
      </c>
      <c r="F137" s="18"/>
      <c r="G137" s="18"/>
      <c r="H137" s="18"/>
      <c r="I137" s="20" t="str">
        <f aca="false">IF(OR($B137="",$C137=""),"",IF(OR($B137="Retorno de sobra",$B137="Saída de sobra"),IFERROR(VLOOKUP($G137,Listas!$A$2:$B$5,2,FALSE()),0)*IF($H137="",1,$H137),$H137))</f>
        <v/>
      </c>
      <c r="J137" s="21" t="str">
        <f aca="false">IF($C137="","",IF(ISNA(MATCH($C137,Estoque!$A$6:$A$45,0)),"⚠ Código não encontrado",IF(AND(OR($B137="Retorno de sobra",$B137="Saída de sobra"),$G137=""),"⚠ Escolha a medida da sobra",IF(AND(OR($B137="Entrada",$B137="Saída"),$H137=""),"⚠ Informe a quantidade","OK"))))</f>
        <v/>
      </c>
    </row>
    <row r="138" customFormat="false" ht="15" hidden="false" customHeight="false" outlineLevel="0" collapsed="false">
      <c r="A138" s="22"/>
      <c r="B138" s="18"/>
      <c r="C138" s="18"/>
      <c r="D138" s="19" t="str">
        <f aca="false">IF($C138="","",IFERROR(INDEX(Estoque!$C$6:$C$45,MATCH($C138,Estoque!$A$6:$A$45,0)),"Código não encontrado"))</f>
        <v/>
      </c>
      <c r="E138" s="19" t="str">
        <f aca="false">IF($C138="","",IFERROR(INDEX(Estoque!$B$6:$B$45,MATCH($C138,Estoque!$A$6:$A$45,0)),"Código não encontrado"))</f>
        <v/>
      </c>
      <c r="F138" s="18"/>
      <c r="G138" s="18"/>
      <c r="H138" s="18"/>
      <c r="I138" s="20" t="str">
        <f aca="false">IF(OR($B138="",$C138=""),"",IF(OR($B138="Retorno de sobra",$B138="Saída de sobra"),IFERROR(VLOOKUP($G138,Listas!$A$2:$B$5,2,FALSE()),0)*IF($H138="",1,$H138),$H138))</f>
        <v/>
      </c>
      <c r="J138" s="21" t="str">
        <f aca="false">IF($C138="","",IF(ISNA(MATCH($C138,Estoque!$A$6:$A$45,0)),"⚠ Código não encontrado",IF(AND(OR($B138="Retorno de sobra",$B138="Saída de sobra"),$G138=""),"⚠ Escolha a medida da sobra",IF(AND(OR($B138="Entrada",$B138="Saída"),$H138=""),"⚠ Informe a quantidade","OK"))))</f>
        <v/>
      </c>
    </row>
    <row r="139" customFormat="false" ht="15" hidden="false" customHeight="false" outlineLevel="0" collapsed="false">
      <c r="A139" s="22"/>
      <c r="B139" s="18"/>
      <c r="C139" s="18"/>
      <c r="D139" s="19" t="str">
        <f aca="false">IF($C139="","",IFERROR(INDEX(Estoque!$C$6:$C$45,MATCH($C139,Estoque!$A$6:$A$45,0)),"Código não encontrado"))</f>
        <v/>
      </c>
      <c r="E139" s="19" t="str">
        <f aca="false">IF($C139="","",IFERROR(INDEX(Estoque!$B$6:$B$45,MATCH($C139,Estoque!$A$6:$A$45,0)),"Código não encontrado"))</f>
        <v/>
      </c>
      <c r="F139" s="18"/>
      <c r="G139" s="18"/>
      <c r="H139" s="18"/>
      <c r="I139" s="20" t="str">
        <f aca="false">IF(OR($B139="",$C139=""),"",IF(OR($B139="Retorno de sobra",$B139="Saída de sobra"),IFERROR(VLOOKUP($G139,Listas!$A$2:$B$5,2,FALSE()),0)*IF($H139="",1,$H139),$H139))</f>
        <v/>
      </c>
      <c r="J139" s="21" t="str">
        <f aca="false">IF($C139="","",IF(ISNA(MATCH($C139,Estoque!$A$6:$A$45,0)),"⚠ Código não encontrado",IF(AND(OR($B139="Retorno de sobra",$B139="Saída de sobra"),$G139=""),"⚠ Escolha a medida da sobra",IF(AND(OR($B139="Entrada",$B139="Saída"),$H139=""),"⚠ Informe a quantidade","OK"))))</f>
        <v/>
      </c>
    </row>
    <row r="140" customFormat="false" ht="15" hidden="false" customHeight="false" outlineLevel="0" collapsed="false">
      <c r="A140" s="22"/>
      <c r="B140" s="18"/>
      <c r="C140" s="18"/>
      <c r="D140" s="19" t="str">
        <f aca="false">IF($C140="","",IFERROR(INDEX(Estoque!$C$6:$C$45,MATCH($C140,Estoque!$A$6:$A$45,0)),"Código não encontrado"))</f>
        <v/>
      </c>
      <c r="E140" s="19" t="str">
        <f aca="false">IF($C140="","",IFERROR(INDEX(Estoque!$B$6:$B$45,MATCH($C140,Estoque!$A$6:$A$45,0)),"Código não encontrado"))</f>
        <v/>
      </c>
      <c r="F140" s="18"/>
      <c r="G140" s="18"/>
      <c r="H140" s="18"/>
      <c r="I140" s="20" t="str">
        <f aca="false">IF(OR($B140="",$C140=""),"",IF(OR($B140="Retorno de sobra",$B140="Saída de sobra"),IFERROR(VLOOKUP($G140,Listas!$A$2:$B$5,2,FALSE()),0)*IF($H140="",1,$H140),$H140))</f>
        <v/>
      </c>
      <c r="J140" s="21" t="str">
        <f aca="false">IF($C140="","",IF(ISNA(MATCH($C140,Estoque!$A$6:$A$45,0)),"⚠ Código não encontrado",IF(AND(OR($B140="Retorno de sobra",$B140="Saída de sobra"),$G140=""),"⚠ Escolha a medida da sobra",IF(AND(OR($B140="Entrada",$B140="Saída"),$H140=""),"⚠ Informe a quantidade","OK"))))</f>
        <v/>
      </c>
    </row>
    <row r="141" customFormat="false" ht="15" hidden="false" customHeight="false" outlineLevel="0" collapsed="false">
      <c r="A141" s="22"/>
      <c r="B141" s="18"/>
      <c r="C141" s="18"/>
      <c r="D141" s="19" t="str">
        <f aca="false">IF($C141="","",IFERROR(INDEX(Estoque!$C$6:$C$45,MATCH($C141,Estoque!$A$6:$A$45,0)),"Código não encontrado"))</f>
        <v/>
      </c>
      <c r="E141" s="19" t="str">
        <f aca="false">IF($C141="","",IFERROR(INDEX(Estoque!$B$6:$B$45,MATCH($C141,Estoque!$A$6:$A$45,0)),"Código não encontrado"))</f>
        <v/>
      </c>
      <c r="F141" s="18"/>
      <c r="G141" s="18"/>
      <c r="H141" s="18"/>
      <c r="I141" s="20" t="str">
        <f aca="false">IF(OR($B141="",$C141=""),"",IF(OR($B141="Retorno de sobra",$B141="Saída de sobra"),IFERROR(VLOOKUP($G141,Listas!$A$2:$B$5,2,FALSE()),0)*IF($H141="",1,$H141),$H141))</f>
        <v/>
      </c>
      <c r="J141" s="21" t="str">
        <f aca="false">IF($C141="","",IF(ISNA(MATCH($C141,Estoque!$A$6:$A$45,0)),"⚠ Código não encontrado",IF(AND(OR($B141="Retorno de sobra",$B141="Saída de sobra"),$G141=""),"⚠ Escolha a medida da sobra",IF(AND(OR($B141="Entrada",$B141="Saída"),$H141=""),"⚠ Informe a quantidade","OK"))))</f>
        <v/>
      </c>
    </row>
    <row r="142" customFormat="false" ht="15" hidden="false" customHeight="false" outlineLevel="0" collapsed="false">
      <c r="A142" s="22"/>
      <c r="B142" s="18"/>
      <c r="C142" s="18"/>
      <c r="D142" s="19" t="str">
        <f aca="false">IF($C142="","",IFERROR(INDEX(Estoque!$C$6:$C$45,MATCH($C142,Estoque!$A$6:$A$45,0)),"Código não encontrado"))</f>
        <v/>
      </c>
      <c r="E142" s="19" t="str">
        <f aca="false">IF($C142="","",IFERROR(INDEX(Estoque!$B$6:$B$45,MATCH($C142,Estoque!$A$6:$A$45,0)),"Código não encontrado"))</f>
        <v/>
      </c>
      <c r="F142" s="18"/>
      <c r="G142" s="18"/>
      <c r="H142" s="18"/>
      <c r="I142" s="20" t="str">
        <f aca="false">IF(OR($B142="",$C142=""),"",IF(OR($B142="Retorno de sobra",$B142="Saída de sobra"),IFERROR(VLOOKUP($G142,Listas!$A$2:$B$5,2,FALSE()),0)*IF($H142="",1,$H142),$H142))</f>
        <v/>
      </c>
      <c r="J142" s="21" t="str">
        <f aca="false">IF($C142="","",IF(ISNA(MATCH($C142,Estoque!$A$6:$A$45,0)),"⚠ Código não encontrado",IF(AND(OR($B142="Retorno de sobra",$B142="Saída de sobra"),$G142=""),"⚠ Escolha a medida da sobra",IF(AND(OR($B142="Entrada",$B142="Saída"),$H142=""),"⚠ Informe a quantidade","OK"))))</f>
        <v/>
      </c>
    </row>
    <row r="143" customFormat="false" ht="15" hidden="false" customHeight="false" outlineLevel="0" collapsed="false">
      <c r="A143" s="22"/>
      <c r="B143" s="18"/>
      <c r="C143" s="18"/>
      <c r="D143" s="19" t="str">
        <f aca="false">IF($C143="","",IFERROR(INDEX(Estoque!$C$6:$C$45,MATCH($C143,Estoque!$A$6:$A$45,0)),"Código não encontrado"))</f>
        <v/>
      </c>
      <c r="E143" s="19" t="str">
        <f aca="false">IF($C143="","",IFERROR(INDEX(Estoque!$B$6:$B$45,MATCH($C143,Estoque!$A$6:$A$45,0)),"Código não encontrado"))</f>
        <v/>
      </c>
      <c r="F143" s="18"/>
      <c r="G143" s="18"/>
      <c r="H143" s="18"/>
      <c r="I143" s="20" t="str">
        <f aca="false">IF(OR($B143="",$C143=""),"",IF(OR($B143="Retorno de sobra",$B143="Saída de sobra"),IFERROR(VLOOKUP($G143,Listas!$A$2:$B$5,2,FALSE()),0)*IF($H143="",1,$H143),$H143))</f>
        <v/>
      </c>
      <c r="J143" s="21" t="str">
        <f aca="false">IF($C143="","",IF(ISNA(MATCH($C143,Estoque!$A$6:$A$45,0)),"⚠ Código não encontrado",IF(AND(OR($B143="Retorno de sobra",$B143="Saída de sobra"),$G143=""),"⚠ Escolha a medida da sobra",IF(AND(OR($B143="Entrada",$B143="Saída"),$H143=""),"⚠ Informe a quantidade","OK"))))</f>
        <v/>
      </c>
    </row>
    <row r="144" customFormat="false" ht="15" hidden="false" customHeight="false" outlineLevel="0" collapsed="false">
      <c r="A144" s="22"/>
      <c r="B144" s="18"/>
      <c r="C144" s="18"/>
      <c r="D144" s="19" t="str">
        <f aca="false">IF($C144="","",IFERROR(INDEX(Estoque!$C$6:$C$45,MATCH($C144,Estoque!$A$6:$A$45,0)),"Código não encontrado"))</f>
        <v/>
      </c>
      <c r="E144" s="19" t="str">
        <f aca="false">IF($C144="","",IFERROR(INDEX(Estoque!$B$6:$B$45,MATCH($C144,Estoque!$A$6:$A$45,0)),"Código não encontrado"))</f>
        <v/>
      </c>
      <c r="F144" s="18"/>
      <c r="G144" s="18"/>
      <c r="H144" s="18"/>
      <c r="I144" s="20" t="str">
        <f aca="false">IF(OR($B144="",$C144=""),"",IF(OR($B144="Retorno de sobra",$B144="Saída de sobra"),IFERROR(VLOOKUP($G144,Listas!$A$2:$B$5,2,FALSE()),0)*IF($H144="",1,$H144),$H144))</f>
        <v/>
      </c>
      <c r="J144" s="21" t="str">
        <f aca="false">IF($C144="","",IF(ISNA(MATCH($C144,Estoque!$A$6:$A$45,0)),"⚠ Código não encontrado",IF(AND(OR($B144="Retorno de sobra",$B144="Saída de sobra"),$G144=""),"⚠ Escolha a medida da sobra",IF(AND(OR($B144="Entrada",$B144="Saída"),$H144=""),"⚠ Informe a quantidade","OK"))))</f>
        <v/>
      </c>
    </row>
    <row r="145" customFormat="false" ht="15" hidden="false" customHeight="false" outlineLevel="0" collapsed="false">
      <c r="A145" s="22"/>
      <c r="B145" s="18"/>
      <c r="C145" s="18"/>
      <c r="D145" s="19" t="str">
        <f aca="false">IF($C145="","",IFERROR(INDEX(Estoque!$C$6:$C$45,MATCH($C145,Estoque!$A$6:$A$45,0)),"Código não encontrado"))</f>
        <v/>
      </c>
      <c r="E145" s="19" t="str">
        <f aca="false">IF($C145="","",IFERROR(INDEX(Estoque!$B$6:$B$45,MATCH($C145,Estoque!$A$6:$A$45,0)),"Código não encontrado"))</f>
        <v/>
      </c>
      <c r="F145" s="18"/>
      <c r="G145" s="18"/>
      <c r="H145" s="18"/>
      <c r="I145" s="20" t="str">
        <f aca="false">IF(OR($B145="",$C145=""),"",IF(OR($B145="Retorno de sobra",$B145="Saída de sobra"),IFERROR(VLOOKUP($G145,Listas!$A$2:$B$5,2,FALSE()),0)*IF($H145="",1,$H145),$H145))</f>
        <v/>
      </c>
      <c r="J145" s="21" t="str">
        <f aca="false">IF($C145="","",IF(ISNA(MATCH($C145,Estoque!$A$6:$A$45,0)),"⚠ Código não encontrado",IF(AND(OR($B145="Retorno de sobra",$B145="Saída de sobra"),$G145=""),"⚠ Escolha a medida da sobra",IF(AND(OR($B145="Entrada",$B145="Saída"),$H145=""),"⚠ Informe a quantidade","OK"))))</f>
        <v/>
      </c>
    </row>
    <row r="146" customFormat="false" ht="15" hidden="false" customHeight="false" outlineLevel="0" collapsed="false">
      <c r="A146" s="22"/>
      <c r="B146" s="18"/>
      <c r="C146" s="18"/>
      <c r="D146" s="19" t="str">
        <f aca="false">IF($C146="","",IFERROR(INDEX(Estoque!$C$6:$C$45,MATCH($C146,Estoque!$A$6:$A$45,0)),"Código não encontrado"))</f>
        <v/>
      </c>
      <c r="E146" s="19" t="str">
        <f aca="false">IF($C146="","",IFERROR(INDEX(Estoque!$B$6:$B$45,MATCH($C146,Estoque!$A$6:$A$45,0)),"Código não encontrado"))</f>
        <v/>
      </c>
      <c r="F146" s="18"/>
      <c r="G146" s="18"/>
      <c r="H146" s="18"/>
      <c r="I146" s="20" t="str">
        <f aca="false">IF(OR($B146="",$C146=""),"",IF(OR($B146="Retorno de sobra",$B146="Saída de sobra"),IFERROR(VLOOKUP($G146,Listas!$A$2:$B$5,2,FALSE()),0)*IF($H146="",1,$H146),$H146))</f>
        <v/>
      </c>
      <c r="J146" s="21" t="str">
        <f aca="false">IF($C146="","",IF(ISNA(MATCH($C146,Estoque!$A$6:$A$45,0)),"⚠ Código não encontrado",IF(AND(OR($B146="Retorno de sobra",$B146="Saída de sobra"),$G146=""),"⚠ Escolha a medida da sobra",IF(AND(OR($B146="Entrada",$B146="Saída"),$H146=""),"⚠ Informe a quantidade","OK"))))</f>
        <v/>
      </c>
    </row>
    <row r="147" customFormat="false" ht="15" hidden="false" customHeight="false" outlineLevel="0" collapsed="false">
      <c r="A147" s="22"/>
      <c r="B147" s="18"/>
      <c r="C147" s="18"/>
      <c r="D147" s="19" t="str">
        <f aca="false">IF($C147="","",IFERROR(INDEX(Estoque!$C$6:$C$45,MATCH($C147,Estoque!$A$6:$A$45,0)),"Código não encontrado"))</f>
        <v/>
      </c>
      <c r="E147" s="19" t="str">
        <f aca="false">IF($C147="","",IFERROR(INDEX(Estoque!$B$6:$B$45,MATCH($C147,Estoque!$A$6:$A$45,0)),"Código não encontrado"))</f>
        <v/>
      </c>
      <c r="F147" s="18"/>
      <c r="G147" s="18"/>
      <c r="H147" s="18"/>
      <c r="I147" s="20" t="str">
        <f aca="false">IF(OR($B147="",$C147=""),"",IF(OR($B147="Retorno de sobra",$B147="Saída de sobra"),IFERROR(VLOOKUP($G147,Listas!$A$2:$B$5,2,FALSE()),0)*IF($H147="",1,$H147),$H147))</f>
        <v/>
      </c>
      <c r="J147" s="21" t="str">
        <f aca="false">IF($C147="","",IF(ISNA(MATCH($C147,Estoque!$A$6:$A$45,0)),"⚠ Código não encontrado",IF(AND(OR($B147="Retorno de sobra",$B147="Saída de sobra"),$G147=""),"⚠ Escolha a medida da sobra",IF(AND(OR($B147="Entrada",$B147="Saída"),$H147=""),"⚠ Informe a quantidade","OK"))))</f>
        <v/>
      </c>
    </row>
    <row r="148" customFormat="false" ht="15" hidden="false" customHeight="false" outlineLevel="0" collapsed="false">
      <c r="A148" s="22"/>
      <c r="B148" s="18"/>
      <c r="C148" s="18"/>
      <c r="D148" s="19" t="str">
        <f aca="false">IF($C148="","",IFERROR(INDEX(Estoque!$C$6:$C$45,MATCH($C148,Estoque!$A$6:$A$45,0)),"Código não encontrado"))</f>
        <v/>
      </c>
      <c r="E148" s="19" t="str">
        <f aca="false">IF($C148="","",IFERROR(INDEX(Estoque!$B$6:$B$45,MATCH($C148,Estoque!$A$6:$A$45,0)),"Código não encontrado"))</f>
        <v/>
      </c>
      <c r="F148" s="18"/>
      <c r="G148" s="18"/>
      <c r="H148" s="18"/>
      <c r="I148" s="20" t="str">
        <f aca="false">IF(OR($B148="",$C148=""),"",IF(OR($B148="Retorno de sobra",$B148="Saída de sobra"),IFERROR(VLOOKUP($G148,Listas!$A$2:$B$5,2,FALSE()),0)*IF($H148="",1,$H148),$H148))</f>
        <v/>
      </c>
      <c r="J148" s="21" t="str">
        <f aca="false">IF($C148="","",IF(ISNA(MATCH($C148,Estoque!$A$6:$A$45,0)),"⚠ Código não encontrado",IF(AND(OR($B148="Retorno de sobra",$B148="Saída de sobra"),$G148=""),"⚠ Escolha a medida da sobra",IF(AND(OR($B148="Entrada",$B148="Saída"),$H148=""),"⚠ Informe a quantidade","OK"))))</f>
        <v/>
      </c>
    </row>
    <row r="149" customFormat="false" ht="15" hidden="false" customHeight="false" outlineLevel="0" collapsed="false">
      <c r="A149" s="22"/>
      <c r="B149" s="18"/>
      <c r="C149" s="18"/>
      <c r="D149" s="19" t="str">
        <f aca="false">IF($C149="","",IFERROR(INDEX(Estoque!$C$6:$C$45,MATCH($C149,Estoque!$A$6:$A$45,0)),"Código não encontrado"))</f>
        <v/>
      </c>
      <c r="E149" s="19" t="str">
        <f aca="false">IF($C149="","",IFERROR(INDEX(Estoque!$B$6:$B$45,MATCH($C149,Estoque!$A$6:$A$45,0)),"Código não encontrado"))</f>
        <v/>
      </c>
      <c r="F149" s="18"/>
      <c r="G149" s="18"/>
      <c r="H149" s="18"/>
      <c r="I149" s="20" t="str">
        <f aca="false">IF(OR($B149="",$C149=""),"",IF(OR($B149="Retorno de sobra",$B149="Saída de sobra"),IFERROR(VLOOKUP($G149,Listas!$A$2:$B$5,2,FALSE()),0)*IF($H149="",1,$H149),$H149))</f>
        <v/>
      </c>
      <c r="J149" s="21" t="str">
        <f aca="false">IF($C149="","",IF(ISNA(MATCH($C149,Estoque!$A$6:$A$45,0)),"⚠ Código não encontrado",IF(AND(OR($B149="Retorno de sobra",$B149="Saída de sobra"),$G149=""),"⚠ Escolha a medida da sobra",IF(AND(OR($B149="Entrada",$B149="Saída"),$H149=""),"⚠ Informe a quantidade","OK"))))</f>
        <v/>
      </c>
    </row>
    <row r="150" customFormat="false" ht="15" hidden="false" customHeight="false" outlineLevel="0" collapsed="false">
      <c r="A150" s="22"/>
      <c r="B150" s="18"/>
      <c r="C150" s="18"/>
      <c r="D150" s="19" t="str">
        <f aca="false">IF($C150="","",IFERROR(INDEX(Estoque!$C$6:$C$45,MATCH($C150,Estoque!$A$6:$A$45,0)),"Código não encontrado"))</f>
        <v/>
      </c>
      <c r="E150" s="19" t="str">
        <f aca="false">IF($C150="","",IFERROR(INDEX(Estoque!$B$6:$B$45,MATCH($C150,Estoque!$A$6:$A$45,0)),"Código não encontrado"))</f>
        <v/>
      </c>
      <c r="F150" s="18"/>
      <c r="G150" s="18"/>
      <c r="H150" s="18"/>
      <c r="I150" s="20" t="str">
        <f aca="false">IF(OR($B150="",$C150=""),"",IF(OR($B150="Retorno de sobra",$B150="Saída de sobra"),IFERROR(VLOOKUP($G150,Listas!$A$2:$B$5,2,FALSE()),0)*IF($H150="",1,$H150),$H150))</f>
        <v/>
      </c>
      <c r="J150" s="21" t="str">
        <f aca="false">IF($C150="","",IF(ISNA(MATCH($C150,Estoque!$A$6:$A$45,0)),"⚠ Código não encontrado",IF(AND(OR($B150="Retorno de sobra",$B150="Saída de sobra"),$G150=""),"⚠ Escolha a medida da sobra",IF(AND(OR($B150="Entrada",$B150="Saída"),$H150=""),"⚠ Informe a quantidade","OK"))))</f>
        <v/>
      </c>
    </row>
    <row r="151" customFormat="false" ht="15" hidden="false" customHeight="false" outlineLevel="0" collapsed="false">
      <c r="A151" s="22"/>
      <c r="B151" s="18"/>
      <c r="C151" s="18"/>
      <c r="D151" s="19" t="str">
        <f aca="false">IF($C151="","",IFERROR(INDEX(Estoque!$C$6:$C$45,MATCH($C151,Estoque!$A$6:$A$45,0)),"Código não encontrado"))</f>
        <v/>
      </c>
      <c r="E151" s="19" t="str">
        <f aca="false">IF($C151="","",IFERROR(INDEX(Estoque!$B$6:$B$45,MATCH($C151,Estoque!$A$6:$A$45,0)),"Código não encontrado"))</f>
        <v/>
      </c>
      <c r="F151" s="18"/>
      <c r="G151" s="18"/>
      <c r="H151" s="18"/>
      <c r="I151" s="20" t="str">
        <f aca="false">IF(OR($B151="",$C151=""),"",IF(OR($B151="Retorno de sobra",$B151="Saída de sobra"),IFERROR(VLOOKUP($G151,Listas!$A$2:$B$5,2,FALSE()),0)*IF($H151="",1,$H151),$H151))</f>
        <v/>
      </c>
      <c r="J151" s="21" t="str">
        <f aca="false">IF($C151="","",IF(ISNA(MATCH($C151,Estoque!$A$6:$A$45,0)),"⚠ Código não encontrado",IF(AND(OR($B151="Retorno de sobra",$B151="Saída de sobra"),$G151=""),"⚠ Escolha a medida da sobra",IF(AND(OR($B151="Entrada",$B151="Saída"),$H151=""),"⚠ Informe a quantidade","OK"))))</f>
        <v/>
      </c>
    </row>
    <row r="152" customFormat="false" ht="15" hidden="false" customHeight="false" outlineLevel="0" collapsed="false">
      <c r="A152" s="22"/>
      <c r="B152" s="18"/>
      <c r="C152" s="18"/>
      <c r="D152" s="19" t="str">
        <f aca="false">IF($C152="","",IFERROR(INDEX(Estoque!$C$6:$C$45,MATCH($C152,Estoque!$A$6:$A$45,0)),"Código não encontrado"))</f>
        <v/>
      </c>
      <c r="E152" s="19" t="str">
        <f aca="false">IF($C152="","",IFERROR(INDEX(Estoque!$B$6:$B$45,MATCH($C152,Estoque!$A$6:$A$45,0)),"Código não encontrado"))</f>
        <v/>
      </c>
      <c r="F152" s="18"/>
      <c r="G152" s="18"/>
      <c r="H152" s="18"/>
      <c r="I152" s="20" t="str">
        <f aca="false">IF(OR($B152="",$C152=""),"",IF(OR($B152="Retorno de sobra",$B152="Saída de sobra"),IFERROR(VLOOKUP($G152,Listas!$A$2:$B$5,2,FALSE()),0)*IF($H152="",1,$H152),$H152))</f>
        <v/>
      </c>
      <c r="J152" s="21" t="str">
        <f aca="false">IF($C152="","",IF(ISNA(MATCH($C152,Estoque!$A$6:$A$45,0)),"⚠ Código não encontrado",IF(AND(OR($B152="Retorno de sobra",$B152="Saída de sobra"),$G152=""),"⚠ Escolha a medida da sobra",IF(AND(OR($B152="Entrada",$B152="Saída"),$H152=""),"⚠ Informe a quantidade","OK"))))</f>
        <v/>
      </c>
    </row>
    <row r="153" customFormat="false" ht="15" hidden="false" customHeight="false" outlineLevel="0" collapsed="false">
      <c r="A153" s="22"/>
      <c r="B153" s="18"/>
      <c r="C153" s="18"/>
      <c r="D153" s="19" t="str">
        <f aca="false">IF($C153="","",IFERROR(INDEX(Estoque!$C$6:$C$45,MATCH($C153,Estoque!$A$6:$A$45,0)),"Código não encontrado"))</f>
        <v/>
      </c>
      <c r="E153" s="19" t="str">
        <f aca="false">IF($C153="","",IFERROR(INDEX(Estoque!$B$6:$B$45,MATCH($C153,Estoque!$A$6:$A$45,0)),"Código não encontrado"))</f>
        <v/>
      </c>
      <c r="F153" s="18"/>
      <c r="G153" s="18"/>
      <c r="H153" s="18"/>
      <c r="I153" s="20" t="str">
        <f aca="false">IF(OR($B153="",$C153=""),"",IF(OR($B153="Retorno de sobra",$B153="Saída de sobra"),IFERROR(VLOOKUP($G153,Listas!$A$2:$B$5,2,FALSE()),0)*IF($H153="",1,$H153),$H153))</f>
        <v/>
      </c>
      <c r="J153" s="21" t="str">
        <f aca="false">IF($C153="","",IF(ISNA(MATCH($C153,Estoque!$A$6:$A$45,0)),"⚠ Código não encontrado",IF(AND(OR($B153="Retorno de sobra",$B153="Saída de sobra"),$G153=""),"⚠ Escolha a medida da sobra",IF(AND(OR($B153="Entrada",$B153="Saída"),$H153=""),"⚠ Informe a quantidade","OK"))))</f>
        <v/>
      </c>
    </row>
    <row r="154" customFormat="false" ht="15" hidden="false" customHeight="false" outlineLevel="0" collapsed="false">
      <c r="A154" s="22"/>
      <c r="B154" s="18"/>
      <c r="C154" s="18"/>
      <c r="D154" s="19" t="str">
        <f aca="false">IF($C154="","",IFERROR(INDEX(Estoque!$C$6:$C$45,MATCH($C154,Estoque!$A$6:$A$45,0)),"Código não encontrado"))</f>
        <v/>
      </c>
      <c r="E154" s="19" t="str">
        <f aca="false">IF($C154="","",IFERROR(INDEX(Estoque!$B$6:$B$45,MATCH($C154,Estoque!$A$6:$A$45,0)),"Código não encontrado"))</f>
        <v/>
      </c>
      <c r="F154" s="18"/>
      <c r="G154" s="18"/>
      <c r="H154" s="18"/>
      <c r="I154" s="20" t="str">
        <f aca="false">IF(OR($B154="",$C154=""),"",IF(OR($B154="Retorno de sobra",$B154="Saída de sobra"),IFERROR(VLOOKUP($G154,Listas!$A$2:$B$5,2,FALSE()),0)*IF($H154="",1,$H154),$H154))</f>
        <v/>
      </c>
      <c r="J154" s="21" t="str">
        <f aca="false">IF($C154="","",IF(ISNA(MATCH($C154,Estoque!$A$6:$A$45,0)),"⚠ Código não encontrado",IF(AND(OR($B154="Retorno de sobra",$B154="Saída de sobra"),$G154=""),"⚠ Escolha a medida da sobra",IF(AND(OR($B154="Entrada",$B154="Saída"),$H154=""),"⚠ Informe a quantidade","OK"))))</f>
        <v/>
      </c>
    </row>
    <row r="155" customFormat="false" ht="15" hidden="false" customHeight="false" outlineLevel="0" collapsed="false">
      <c r="A155" s="22"/>
      <c r="B155" s="18"/>
      <c r="C155" s="18"/>
      <c r="D155" s="19" t="str">
        <f aca="false">IF($C155="","",IFERROR(INDEX(Estoque!$C$6:$C$45,MATCH($C155,Estoque!$A$6:$A$45,0)),"Código não encontrado"))</f>
        <v/>
      </c>
      <c r="E155" s="19" t="str">
        <f aca="false">IF($C155="","",IFERROR(INDEX(Estoque!$B$6:$B$45,MATCH($C155,Estoque!$A$6:$A$45,0)),"Código não encontrado"))</f>
        <v/>
      </c>
      <c r="F155" s="18"/>
      <c r="G155" s="18"/>
      <c r="H155" s="18"/>
      <c r="I155" s="20" t="str">
        <f aca="false">IF(OR($B155="",$C155=""),"",IF(OR($B155="Retorno de sobra",$B155="Saída de sobra"),IFERROR(VLOOKUP($G155,Listas!$A$2:$B$5,2,FALSE()),0)*IF($H155="",1,$H155),$H155))</f>
        <v/>
      </c>
      <c r="J155" s="21" t="str">
        <f aca="false">IF($C155="","",IF(ISNA(MATCH($C155,Estoque!$A$6:$A$45,0)),"⚠ Código não encontrado",IF(AND(OR($B155="Retorno de sobra",$B155="Saída de sobra"),$G155=""),"⚠ Escolha a medida da sobra",IF(AND(OR($B155="Entrada",$B155="Saída"),$H155=""),"⚠ Informe a quantidade","OK"))))</f>
        <v/>
      </c>
    </row>
    <row r="156" customFormat="false" ht="15" hidden="false" customHeight="false" outlineLevel="0" collapsed="false">
      <c r="A156" s="22"/>
      <c r="B156" s="18"/>
      <c r="C156" s="18"/>
      <c r="D156" s="19" t="str">
        <f aca="false">IF($C156="","",IFERROR(INDEX(Estoque!$C$6:$C$45,MATCH($C156,Estoque!$A$6:$A$45,0)),"Código não encontrado"))</f>
        <v/>
      </c>
      <c r="E156" s="19" t="str">
        <f aca="false">IF($C156="","",IFERROR(INDEX(Estoque!$B$6:$B$45,MATCH($C156,Estoque!$A$6:$A$45,0)),"Código não encontrado"))</f>
        <v/>
      </c>
      <c r="F156" s="18"/>
      <c r="G156" s="18"/>
      <c r="H156" s="18"/>
      <c r="I156" s="20" t="str">
        <f aca="false">IF(OR($B156="",$C156=""),"",IF(OR($B156="Retorno de sobra",$B156="Saída de sobra"),IFERROR(VLOOKUP($G156,Listas!$A$2:$B$5,2,FALSE()),0)*IF($H156="",1,$H156),$H156))</f>
        <v/>
      </c>
      <c r="J156" s="21" t="str">
        <f aca="false">IF($C156="","",IF(ISNA(MATCH($C156,Estoque!$A$6:$A$45,0)),"⚠ Código não encontrado",IF(AND(OR($B156="Retorno de sobra",$B156="Saída de sobra"),$G156=""),"⚠ Escolha a medida da sobra",IF(AND(OR($B156="Entrada",$B156="Saída"),$H156=""),"⚠ Informe a quantidade","OK"))))</f>
        <v/>
      </c>
    </row>
    <row r="157" customFormat="false" ht="15" hidden="false" customHeight="false" outlineLevel="0" collapsed="false">
      <c r="A157" s="22"/>
      <c r="B157" s="18"/>
      <c r="C157" s="18"/>
      <c r="D157" s="19" t="str">
        <f aca="false">IF($C157="","",IFERROR(INDEX(Estoque!$C$6:$C$45,MATCH($C157,Estoque!$A$6:$A$45,0)),"Código não encontrado"))</f>
        <v/>
      </c>
      <c r="E157" s="19" t="str">
        <f aca="false">IF($C157="","",IFERROR(INDEX(Estoque!$B$6:$B$45,MATCH($C157,Estoque!$A$6:$A$45,0)),"Código não encontrado"))</f>
        <v/>
      </c>
      <c r="F157" s="18"/>
      <c r="G157" s="18"/>
      <c r="H157" s="18"/>
      <c r="I157" s="20" t="str">
        <f aca="false">IF(OR($B157="",$C157=""),"",IF(OR($B157="Retorno de sobra",$B157="Saída de sobra"),IFERROR(VLOOKUP($G157,Listas!$A$2:$B$5,2,FALSE()),0)*IF($H157="",1,$H157),$H157))</f>
        <v/>
      </c>
      <c r="J157" s="21" t="str">
        <f aca="false">IF($C157="","",IF(ISNA(MATCH($C157,Estoque!$A$6:$A$45,0)),"⚠ Código não encontrado",IF(AND(OR($B157="Retorno de sobra",$B157="Saída de sobra"),$G157=""),"⚠ Escolha a medida da sobra",IF(AND(OR($B157="Entrada",$B157="Saída"),$H157=""),"⚠ Informe a quantidade","OK"))))</f>
        <v/>
      </c>
    </row>
    <row r="158" customFormat="false" ht="15" hidden="false" customHeight="false" outlineLevel="0" collapsed="false">
      <c r="A158" s="22"/>
      <c r="B158" s="18"/>
      <c r="C158" s="18"/>
      <c r="D158" s="19" t="str">
        <f aca="false">IF($C158="","",IFERROR(INDEX(Estoque!$C$6:$C$45,MATCH($C158,Estoque!$A$6:$A$45,0)),"Código não encontrado"))</f>
        <v/>
      </c>
      <c r="E158" s="19" t="str">
        <f aca="false">IF($C158="","",IFERROR(INDEX(Estoque!$B$6:$B$45,MATCH($C158,Estoque!$A$6:$A$45,0)),"Código não encontrado"))</f>
        <v/>
      </c>
      <c r="F158" s="18"/>
      <c r="G158" s="18"/>
      <c r="H158" s="18"/>
      <c r="I158" s="20" t="str">
        <f aca="false">IF(OR($B158="",$C158=""),"",IF(OR($B158="Retorno de sobra",$B158="Saída de sobra"),IFERROR(VLOOKUP($G158,Listas!$A$2:$B$5,2,FALSE()),0)*IF($H158="",1,$H158),$H158))</f>
        <v/>
      </c>
      <c r="J158" s="21" t="str">
        <f aca="false">IF($C158="","",IF(ISNA(MATCH($C158,Estoque!$A$6:$A$45,0)),"⚠ Código não encontrado",IF(AND(OR($B158="Retorno de sobra",$B158="Saída de sobra"),$G158=""),"⚠ Escolha a medida da sobra",IF(AND(OR($B158="Entrada",$B158="Saída"),$H158=""),"⚠ Informe a quantidade","OK"))))</f>
        <v/>
      </c>
    </row>
    <row r="159" customFormat="false" ht="15" hidden="false" customHeight="false" outlineLevel="0" collapsed="false">
      <c r="A159" s="22"/>
      <c r="B159" s="18"/>
      <c r="C159" s="18"/>
      <c r="D159" s="19" t="str">
        <f aca="false">IF($C159="","",IFERROR(INDEX(Estoque!$C$6:$C$45,MATCH($C159,Estoque!$A$6:$A$45,0)),"Código não encontrado"))</f>
        <v/>
      </c>
      <c r="E159" s="19" t="str">
        <f aca="false">IF($C159="","",IFERROR(INDEX(Estoque!$B$6:$B$45,MATCH($C159,Estoque!$A$6:$A$45,0)),"Código não encontrado"))</f>
        <v/>
      </c>
      <c r="F159" s="18"/>
      <c r="G159" s="18"/>
      <c r="H159" s="18"/>
      <c r="I159" s="20" t="str">
        <f aca="false">IF(OR($B159="",$C159=""),"",IF(OR($B159="Retorno de sobra",$B159="Saída de sobra"),IFERROR(VLOOKUP($G159,Listas!$A$2:$B$5,2,FALSE()),0)*IF($H159="",1,$H159),$H159))</f>
        <v/>
      </c>
      <c r="J159" s="21" t="str">
        <f aca="false">IF($C159="","",IF(ISNA(MATCH($C159,Estoque!$A$6:$A$45,0)),"⚠ Código não encontrado",IF(AND(OR($B159="Retorno de sobra",$B159="Saída de sobra"),$G159=""),"⚠ Escolha a medida da sobra",IF(AND(OR($B159="Entrada",$B159="Saída"),$H159=""),"⚠ Informe a quantidade","OK"))))</f>
        <v/>
      </c>
    </row>
    <row r="160" customFormat="false" ht="15" hidden="false" customHeight="false" outlineLevel="0" collapsed="false">
      <c r="A160" s="22"/>
      <c r="B160" s="18"/>
      <c r="C160" s="18"/>
      <c r="D160" s="19" t="str">
        <f aca="false">IF($C160="","",IFERROR(INDEX(Estoque!$C$6:$C$45,MATCH($C160,Estoque!$A$6:$A$45,0)),"Código não encontrado"))</f>
        <v/>
      </c>
      <c r="E160" s="19" t="str">
        <f aca="false">IF($C160="","",IFERROR(INDEX(Estoque!$B$6:$B$45,MATCH($C160,Estoque!$A$6:$A$45,0)),"Código não encontrado"))</f>
        <v/>
      </c>
      <c r="F160" s="18"/>
      <c r="G160" s="18"/>
      <c r="H160" s="18"/>
      <c r="I160" s="20" t="str">
        <f aca="false">IF(OR($B160="",$C160=""),"",IF(OR($B160="Retorno de sobra",$B160="Saída de sobra"),IFERROR(VLOOKUP($G160,Listas!$A$2:$B$5,2,FALSE()),0)*IF($H160="",1,$H160),$H160))</f>
        <v/>
      </c>
      <c r="J160" s="21" t="str">
        <f aca="false">IF($C160="","",IF(ISNA(MATCH($C160,Estoque!$A$6:$A$45,0)),"⚠ Código não encontrado",IF(AND(OR($B160="Retorno de sobra",$B160="Saída de sobra"),$G160=""),"⚠ Escolha a medida da sobra",IF(AND(OR($B160="Entrada",$B160="Saída"),$H160=""),"⚠ Informe a quantidade","OK"))))</f>
        <v/>
      </c>
    </row>
    <row r="161" customFormat="false" ht="15" hidden="false" customHeight="false" outlineLevel="0" collapsed="false">
      <c r="A161" s="22"/>
      <c r="B161" s="18"/>
      <c r="C161" s="18"/>
      <c r="D161" s="19" t="str">
        <f aca="false">IF($C161="","",IFERROR(INDEX(Estoque!$C$6:$C$45,MATCH($C161,Estoque!$A$6:$A$45,0)),"Código não encontrado"))</f>
        <v/>
      </c>
      <c r="E161" s="19" t="str">
        <f aca="false">IF($C161="","",IFERROR(INDEX(Estoque!$B$6:$B$45,MATCH($C161,Estoque!$A$6:$A$45,0)),"Código não encontrado"))</f>
        <v/>
      </c>
      <c r="F161" s="18"/>
      <c r="G161" s="18"/>
      <c r="H161" s="18"/>
      <c r="I161" s="20" t="str">
        <f aca="false">IF(OR($B161="",$C161=""),"",IF(OR($B161="Retorno de sobra",$B161="Saída de sobra"),IFERROR(VLOOKUP($G161,Listas!$A$2:$B$5,2,FALSE()),0)*IF($H161="",1,$H161),$H161))</f>
        <v/>
      </c>
      <c r="J161" s="21" t="str">
        <f aca="false">IF($C161="","",IF(ISNA(MATCH($C161,Estoque!$A$6:$A$45,0)),"⚠ Código não encontrado",IF(AND(OR($B161="Retorno de sobra",$B161="Saída de sobra"),$G161=""),"⚠ Escolha a medida da sobra",IF(AND(OR($B161="Entrada",$B161="Saída"),$H161=""),"⚠ Informe a quantidade","OK"))))</f>
        <v/>
      </c>
    </row>
    <row r="162" customFormat="false" ht="15" hidden="false" customHeight="false" outlineLevel="0" collapsed="false">
      <c r="A162" s="22"/>
      <c r="B162" s="18"/>
      <c r="C162" s="18"/>
      <c r="D162" s="19" t="str">
        <f aca="false">IF($C162="","",IFERROR(INDEX(Estoque!$C$6:$C$45,MATCH($C162,Estoque!$A$6:$A$45,0)),"Código não encontrado"))</f>
        <v/>
      </c>
      <c r="E162" s="19" t="str">
        <f aca="false">IF($C162="","",IFERROR(INDEX(Estoque!$B$6:$B$45,MATCH($C162,Estoque!$A$6:$A$45,0)),"Código não encontrado"))</f>
        <v/>
      </c>
      <c r="F162" s="18"/>
      <c r="G162" s="18"/>
      <c r="H162" s="18"/>
      <c r="I162" s="20" t="str">
        <f aca="false">IF(OR($B162="",$C162=""),"",IF(OR($B162="Retorno de sobra",$B162="Saída de sobra"),IFERROR(VLOOKUP($G162,Listas!$A$2:$B$5,2,FALSE()),0)*IF($H162="",1,$H162),$H162))</f>
        <v/>
      </c>
      <c r="J162" s="21" t="str">
        <f aca="false">IF($C162="","",IF(ISNA(MATCH($C162,Estoque!$A$6:$A$45,0)),"⚠ Código não encontrado",IF(AND(OR($B162="Retorno de sobra",$B162="Saída de sobra"),$G162=""),"⚠ Escolha a medida da sobra",IF(AND(OR($B162="Entrada",$B162="Saída"),$H162=""),"⚠ Informe a quantidade","OK"))))</f>
        <v/>
      </c>
    </row>
    <row r="163" customFormat="false" ht="15" hidden="false" customHeight="false" outlineLevel="0" collapsed="false">
      <c r="A163" s="22"/>
      <c r="B163" s="18"/>
      <c r="C163" s="18"/>
      <c r="D163" s="19" t="str">
        <f aca="false">IF($C163="","",IFERROR(INDEX(Estoque!$C$6:$C$45,MATCH($C163,Estoque!$A$6:$A$45,0)),"Código não encontrado"))</f>
        <v/>
      </c>
      <c r="E163" s="19" t="str">
        <f aca="false">IF($C163="","",IFERROR(INDEX(Estoque!$B$6:$B$45,MATCH($C163,Estoque!$A$6:$A$45,0)),"Código não encontrado"))</f>
        <v/>
      </c>
      <c r="F163" s="18"/>
      <c r="G163" s="18"/>
      <c r="H163" s="18"/>
      <c r="I163" s="20" t="str">
        <f aca="false">IF(OR($B163="",$C163=""),"",IF(OR($B163="Retorno de sobra",$B163="Saída de sobra"),IFERROR(VLOOKUP($G163,Listas!$A$2:$B$5,2,FALSE()),0)*IF($H163="",1,$H163),$H163))</f>
        <v/>
      </c>
      <c r="J163" s="21" t="str">
        <f aca="false">IF($C163="","",IF(ISNA(MATCH($C163,Estoque!$A$6:$A$45,0)),"⚠ Código não encontrado",IF(AND(OR($B163="Retorno de sobra",$B163="Saída de sobra"),$G163=""),"⚠ Escolha a medida da sobra",IF(AND(OR($B163="Entrada",$B163="Saída"),$H163=""),"⚠ Informe a quantidade","OK"))))</f>
        <v/>
      </c>
    </row>
    <row r="164" customFormat="false" ht="15" hidden="false" customHeight="false" outlineLevel="0" collapsed="false">
      <c r="A164" s="22"/>
      <c r="B164" s="18"/>
      <c r="C164" s="18"/>
      <c r="D164" s="19" t="str">
        <f aca="false">IF($C164="","",IFERROR(INDEX(Estoque!$C$6:$C$45,MATCH($C164,Estoque!$A$6:$A$45,0)),"Código não encontrado"))</f>
        <v/>
      </c>
      <c r="E164" s="19" t="str">
        <f aca="false">IF($C164="","",IFERROR(INDEX(Estoque!$B$6:$B$45,MATCH($C164,Estoque!$A$6:$A$45,0)),"Código não encontrado"))</f>
        <v/>
      </c>
      <c r="F164" s="18"/>
      <c r="G164" s="18"/>
      <c r="H164" s="18"/>
      <c r="I164" s="20" t="str">
        <f aca="false">IF(OR($B164="",$C164=""),"",IF(OR($B164="Retorno de sobra",$B164="Saída de sobra"),IFERROR(VLOOKUP($G164,Listas!$A$2:$B$5,2,FALSE()),0)*IF($H164="",1,$H164),$H164))</f>
        <v/>
      </c>
      <c r="J164" s="21" t="str">
        <f aca="false">IF($C164="","",IF(ISNA(MATCH($C164,Estoque!$A$6:$A$45,0)),"⚠ Código não encontrado",IF(AND(OR($B164="Retorno de sobra",$B164="Saída de sobra"),$G164=""),"⚠ Escolha a medida da sobra",IF(AND(OR($B164="Entrada",$B164="Saída"),$H164=""),"⚠ Informe a quantidade","OK"))))</f>
        <v/>
      </c>
    </row>
    <row r="165" customFormat="false" ht="15" hidden="false" customHeight="false" outlineLevel="0" collapsed="false">
      <c r="A165" s="22"/>
      <c r="B165" s="18"/>
      <c r="C165" s="18"/>
      <c r="D165" s="19" t="str">
        <f aca="false">IF($C165="","",IFERROR(INDEX(Estoque!$C$6:$C$45,MATCH($C165,Estoque!$A$6:$A$45,0)),"Código não encontrado"))</f>
        <v/>
      </c>
      <c r="E165" s="19" t="str">
        <f aca="false">IF($C165="","",IFERROR(INDEX(Estoque!$B$6:$B$45,MATCH($C165,Estoque!$A$6:$A$45,0)),"Código não encontrado"))</f>
        <v/>
      </c>
      <c r="F165" s="18"/>
      <c r="G165" s="18"/>
      <c r="H165" s="18"/>
      <c r="I165" s="20" t="str">
        <f aca="false">IF(OR($B165="",$C165=""),"",IF(OR($B165="Retorno de sobra",$B165="Saída de sobra"),IFERROR(VLOOKUP($G165,Listas!$A$2:$B$5,2,FALSE()),0)*IF($H165="",1,$H165),$H165))</f>
        <v/>
      </c>
      <c r="J165" s="21" t="str">
        <f aca="false">IF($C165="","",IF(ISNA(MATCH($C165,Estoque!$A$6:$A$45,0)),"⚠ Código não encontrado",IF(AND(OR($B165="Retorno de sobra",$B165="Saída de sobra"),$G165=""),"⚠ Escolha a medida da sobra",IF(AND(OR($B165="Entrada",$B165="Saída"),$H165=""),"⚠ Informe a quantidade","OK"))))</f>
        <v/>
      </c>
    </row>
    <row r="166" customFormat="false" ht="15" hidden="false" customHeight="false" outlineLevel="0" collapsed="false">
      <c r="A166" s="22"/>
      <c r="B166" s="18"/>
      <c r="C166" s="18"/>
      <c r="D166" s="19" t="str">
        <f aca="false">IF($C166="","",IFERROR(INDEX(Estoque!$C$6:$C$45,MATCH($C166,Estoque!$A$6:$A$45,0)),"Código não encontrado"))</f>
        <v/>
      </c>
      <c r="E166" s="19" t="str">
        <f aca="false">IF($C166="","",IFERROR(INDEX(Estoque!$B$6:$B$45,MATCH($C166,Estoque!$A$6:$A$45,0)),"Código não encontrado"))</f>
        <v/>
      </c>
      <c r="F166" s="18"/>
      <c r="G166" s="18"/>
      <c r="H166" s="18"/>
      <c r="I166" s="20" t="str">
        <f aca="false">IF(OR($B166="",$C166=""),"",IF(OR($B166="Retorno de sobra",$B166="Saída de sobra"),IFERROR(VLOOKUP($G166,Listas!$A$2:$B$5,2,FALSE()),0)*IF($H166="",1,$H166),$H166))</f>
        <v/>
      </c>
      <c r="J166" s="21" t="str">
        <f aca="false">IF($C166="","",IF(ISNA(MATCH($C166,Estoque!$A$6:$A$45,0)),"⚠ Código não encontrado",IF(AND(OR($B166="Retorno de sobra",$B166="Saída de sobra"),$G166=""),"⚠ Escolha a medida da sobra",IF(AND(OR($B166="Entrada",$B166="Saída"),$H166=""),"⚠ Informe a quantidade","OK"))))</f>
        <v/>
      </c>
    </row>
    <row r="167" customFormat="false" ht="15" hidden="false" customHeight="false" outlineLevel="0" collapsed="false">
      <c r="A167" s="22"/>
      <c r="B167" s="18"/>
      <c r="C167" s="18"/>
      <c r="D167" s="19" t="str">
        <f aca="false">IF($C167="","",IFERROR(INDEX(Estoque!$C$6:$C$45,MATCH($C167,Estoque!$A$6:$A$45,0)),"Código não encontrado"))</f>
        <v/>
      </c>
      <c r="E167" s="19" t="str">
        <f aca="false">IF($C167="","",IFERROR(INDEX(Estoque!$B$6:$B$45,MATCH($C167,Estoque!$A$6:$A$45,0)),"Código não encontrado"))</f>
        <v/>
      </c>
      <c r="F167" s="18"/>
      <c r="G167" s="18"/>
      <c r="H167" s="18"/>
      <c r="I167" s="20" t="str">
        <f aca="false">IF(OR($B167="",$C167=""),"",IF(OR($B167="Retorno de sobra",$B167="Saída de sobra"),IFERROR(VLOOKUP($G167,Listas!$A$2:$B$5,2,FALSE()),0)*IF($H167="",1,$H167),$H167))</f>
        <v/>
      </c>
      <c r="J167" s="21" t="str">
        <f aca="false">IF($C167="","",IF(ISNA(MATCH($C167,Estoque!$A$6:$A$45,0)),"⚠ Código não encontrado",IF(AND(OR($B167="Retorno de sobra",$B167="Saída de sobra"),$G167=""),"⚠ Escolha a medida da sobra",IF(AND(OR($B167="Entrada",$B167="Saída"),$H167=""),"⚠ Informe a quantidade","OK"))))</f>
        <v/>
      </c>
    </row>
    <row r="168" customFormat="false" ht="15" hidden="false" customHeight="false" outlineLevel="0" collapsed="false">
      <c r="A168" s="22"/>
      <c r="B168" s="18"/>
      <c r="C168" s="18"/>
      <c r="D168" s="19" t="str">
        <f aca="false">IF($C168="","",IFERROR(INDEX(Estoque!$C$6:$C$45,MATCH($C168,Estoque!$A$6:$A$45,0)),"Código não encontrado"))</f>
        <v/>
      </c>
      <c r="E168" s="19" t="str">
        <f aca="false">IF($C168="","",IFERROR(INDEX(Estoque!$B$6:$B$45,MATCH($C168,Estoque!$A$6:$A$45,0)),"Código não encontrado"))</f>
        <v/>
      </c>
      <c r="F168" s="18"/>
      <c r="G168" s="18"/>
      <c r="H168" s="18"/>
      <c r="I168" s="20" t="str">
        <f aca="false">IF(OR($B168="",$C168=""),"",IF(OR($B168="Retorno de sobra",$B168="Saída de sobra"),IFERROR(VLOOKUP($G168,Listas!$A$2:$B$5,2,FALSE()),0)*IF($H168="",1,$H168),$H168))</f>
        <v/>
      </c>
      <c r="J168" s="21" t="str">
        <f aca="false">IF($C168="","",IF(ISNA(MATCH($C168,Estoque!$A$6:$A$45,0)),"⚠ Código não encontrado",IF(AND(OR($B168="Retorno de sobra",$B168="Saída de sobra"),$G168=""),"⚠ Escolha a medida da sobra",IF(AND(OR($B168="Entrada",$B168="Saída"),$H168=""),"⚠ Informe a quantidade","OK"))))</f>
        <v/>
      </c>
    </row>
    <row r="169" customFormat="false" ht="15" hidden="false" customHeight="false" outlineLevel="0" collapsed="false">
      <c r="A169" s="22"/>
      <c r="B169" s="18"/>
      <c r="C169" s="18"/>
      <c r="D169" s="19" t="str">
        <f aca="false">IF($C169="","",IFERROR(INDEX(Estoque!$C$6:$C$45,MATCH($C169,Estoque!$A$6:$A$45,0)),"Código não encontrado"))</f>
        <v/>
      </c>
      <c r="E169" s="19" t="str">
        <f aca="false">IF($C169="","",IFERROR(INDEX(Estoque!$B$6:$B$45,MATCH($C169,Estoque!$A$6:$A$45,0)),"Código não encontrado"))</f>
        <v/>
      </c>
      <c r="F169" s="18"/>
      <c r="G169" s="18"/>
      <c r="H169" s="18"/>
      <c r="I169" s="20" t="str">
        <f aca="false">IF(OR($B169="",$C169=""),"",IF(OR($B169="Retorno de sobra",$B169="Saída de sobra"),IFERROR(VLOOKUP($G169,Listas!$A$2:$B$5,2,FALSE()),0)*IF($H169="",1,$H169),$H169))</f>
        <v/>
      </c>
      <c r="J169" s="21" t="str">
        <f aca="false">IF($C169="","",IF(ISNA(MATCH($C169,Estoque!$A$6:$A$45,0)),"⚠ Código não encontrado",IF(AND(OR($B169="Retorno de sobra",$B169="Saída de sobra"),$G169=""),"⚠ Escolha a medida da sobra",IF(AND(OR($B169="Entrada",$B169="Saída"),$H169=""),"⚠ Informe a quantidade","OK"))))</f>
        <v/>
      </c>
    </row>
    <row r="170" customFormat="false" ht="15" hidden="false" customHeight="false" outlineLevel="0" collapsed="false">
      <c r="A170" s="22"/>
      <c r="B170" s="18"/>
      <c r="C170" s="18"/>
      <c r="D170" s="19" t="str">
        <f aca="false">IF($C170="","",IFERROR(INDEX(Estoque!$C$6:$C$45,MATCH($C170,Estoque!$A$6:$A$45,0)),"Código não encontrado"))</f>
        <v/>
      </c>
      <c r="E170" s="19" t="str">
        <f aca="false">IF($C170="","",IFERROR(INDEX(Estoque!$B$6:$B$45,MATCH($C170,Estoque!$A$6:$A$45,0)),"Código não encontrado"))</f>
        <v/>
      </c>
      <c r="F170" s="18"/>
      <c r="G170" s="18"/>
      <c r="H170" s="18"/>
      <c r="I170" s="20" t="str">
        <f aca="false">IF(OR($B170="",$C170=""),"",IF(OR($B170="Retorno de sobra",$B170="Saída de sobra"),IFERROR(VLOOKUP($G170,Listas!$A$2:$B$5,2,FALSE()),0)*IF($H170="",1,$H170),$H170))</f>
        <v/>
      </c>
      <c r="J170" s="21" t="str">
        <f aca="false">IF($C170="","",IF(ISNA(MATCH($C170,Estoque!$A$6:$A$45,0)),"⚠ Código não encontrado",IF(AND(OR($B170="Retorno de sobra",$B170="Saída de sobra"),$G170=""),"⚠ Escolha a medida da sobra",IF(AND(OR($B170="Entrada",$B170="Saída"),$H170=""),"⚠ Informe a quantidade","OK"))))</f>
        <v/>
      </c>
    </row>
    <row r="171" customFormat="false" ht="15" hidden="false" customHeight="false" outlineLevel="0" collapsed="false">
      <c r="A171" s="22"/>
      <c r="B171" s="18"/>
      <c r="C171" s="18"/>
      <c r="D171" s="19" t="str">
        <f aca="false">IF($C171="","",IFERROR(INDEX(Estoque!$C$6:$C$45,MATCH($C171,Estoque!$A$6:$A$45,0)),"Código não encontrado"))</f>
        <v/>
      </c>
      <c r="E171" s="19" t="str">
        <f aca="false">IF($C171="","",IFERROR(INDEX(Estoque!$B$6:$B$45,MATCH($C171,Estoque!$A$6:$A$45,0)),"Código não encontrado"))</f>
        <v/>
      </c>
      <c r="F171" s="18"/>
      <c r="G171" s="18"/>
      <c r="H171" s="18"/>
      <c r="I171" s="20" t="str">
        <f aca="false">IF(OR($B171="",$C171=""),"",IF(OR($B171="Retorno de sobra",$B171="Saída de sobra"),IFERROR(VLOOKUP($G171,Listas!$A$2:$B$5,2,FALSE()),0)*IF($H171="",1,$H171),$H171))</f>
        <v/>
      </c>
      <c r="J171" s="21" t="str">
        <f aca="false">IF($C171="","",IF(ISNA(MATCH($C171,Estoque!$A$6:$A$45,0)),"⚠ Código não encontrado",IF(AND(OR($B171="Retorno de sobra",$B171="Saída de sobra"),$G171=""),"⚠ Escolha a medida da sobra",IF(AND(OR($B171="Entrada",$B171="Saída"),$H171=""),"⚠ Informe a quantidade","OK"))))</f>
        <v/>
      </c>
    </row>
    <row r="172" customFormat="false" ht="15" hidden="false" customHeight="false" outlineLevel="0" collapsed="false">
      <c r="A172" s="22"/>
      <c r="B172" s="18"/>
      <c r="C172" s="18"/>
      <c r="D172" s="19" t="str">
        <f aca="false">IF($C172="","",IFERROR(INDEX(Estoque!$C$6:$C$45,MATCH($C172,Estoque!$A$6:$A$45,0)),"Código não encontrado"))</f>
        <v/>
      </c>
      <c r="E172" s="19" t="str">
        <f aca="false">IF($C172="","",IFERROR(INDEX(Estoque!$B$6:$B$45,MATCH($C172,Estoque!$A$6:$A$45,0)),"Código não encontrado"))</f>
        <v/>
      </c>
      <c r="F172" s="18"/>
      <c r="G172" s="18"/>
      <c r="H172" s="18"/>
      <c r="I172" s="20" t="str">
        <f aca="false">IF(OR($B172="",$C172=""),"",IF(OR($B172="Retorno de sobra",$B172="Saída de sobra"),IFERROR(VLOOKUP($G172,Listas!$A$2:$B$5,2,FALSE()),0)*IF($H172="",1,$H172),$H172))</f>
        <v/>
      </c>
      <c r="J172" s="21" t="str">
        <f aca="false">IF($C172="","",IF(ISNA(MATCH($C172,Estoque!$A$6:$A$45,0)),"⚠ Código não encontrado",IF(AND(OR($B172="Retorno de sobra",$B172="Saída de sobra"),$G172=""),"⚠ Escolha a medida da sobra",IF(AND(OR($B172="Entrada",$B172="Saída"),$H172=""),"⚠ Informe a quantidade","OK"))))</f>
        <v/>
      </c>
    </row>
    <row r="173" customFormat="false" ht="15" hidden="false" customHeight="false" outlineLevel="0" collapsed="false">
      <c r="A173" s="22"/>
      <c r="B173" s="18"/>
      <c r="C173" s="18"/>
      <c r="D173" s="19" t="str">
        <f aca="false">IF($C173="","",IFERROR(INDEX(Estoque!$C$6:$C$45,MATCH($C173,Estoque!$A$6:$A$45,0)),"Código não encontrado"))</f>
        <v/>
      </c>
      <c r="E173" s="19" t="str">
        <f aca="false">IF($C173="","",IFERROR(INDEX(Estoque!$B$6:$B$45,MATCH($C173,Estoque!$A$6:$A$45,0)),"Código não encontrado"))</f>
        <v/>
      </c>
      <c r="F173" s="18"/>
      <c r="G173" s="18"/>
      <c r="H173" s="18"/>
      <c r="I173" s="20" t="str">
        <f aca="false">IF(OR($B173="",$C173=""),"",IF(OR($B173="Retorno de sobra",$B173="Saída de sobra"),IFERROR(VLOOKUP($G173,Listas!$A$2:$B$5,2,FALSE()),0)*IF($H173="",1,$H173),$H173))</f>
        <v/>
      </c>
      <c r="J173" s="21" t="str">
        <f aca="false">IF($C173="","",IF(ISNA(MATCH($C173,Estoque!$A$6:$A$45,0)),"⚠ Código não encontrado",IF(AND(OR($B173="Retorno de sobra",$B173="Saída de sobra"),$G173=""),"⚠ Escolha a medida da sobra",IF(AND(OR($B173="Entrada",$B173="Saída"),$H173=""),"⚠ Informe a quantidade","OK"))))</f>
        <v/>
      </c>
    </row>
    <row r="174" customFormat="false" ht="15" hidden="false" customHeight="false" outlineLevel="0" collapsed="false">
      <c r="A174" s="22"/>
      <c r="B174" s="18"/>
      <c r="C174" s="18"/>
      <c r="D174" s="19" t="str">
        <f aca="false">IF($C174="","",IFERROR(INDEX(Estoque!$C$6:$C$45,MATCH($C174,Estoque!$A$6:$A$45,0)),"Código não encontrado"))</f>
        <v/>
      </c>
      <c r="E174" s="19" t="str">
        <f aca="false">IF($C174="","",IFERROR(INDEX(Estoque!$B$6:$B$45,MATCH($C174,Estoque!$A$6:$A$45,0)),"Código não encontrado"))</f>
        <v/>
      </c>
      <c r="F174" s="18"/>
      <c r="G174" s="18"/>
      <c r="H174" s="18"/>
      <c r="I174" s="20" t="str">
        <f aca="false">IF(OR($B174="",$C174=""),"",IF(OR($B174="Retorno de sobra",$B174="Saída de sobra"),IFERROR(VLOOKUP($G174,Listas!$A$2:$B$5,2,FALSE()),0)*IF($H174="",1,$H174),$H174))</f>
        <v/>
      </c>
      <c r="J174" s="21" t="str">
        <f aca="false">IF($C174="","",IF(ISNA(MATCH($C174,Estoque!$A$6:$A$45,0)),"⚠ Código não encontrado",IF(AND(OR($B174="Retorno de sobra",$B174="Saída de sobra"),$G174=""),"⚠ Escolha a medida da sobra",IF(AND(OR($B174="Entrada",$B174="Saída"),$H174=""),"⚠ Informe a quantidade","OK"))))</f>
        <v/>
      </c>
    </row>
    <row r="175" customFormat="false" ht="15" hidden="false" customHeight="false" outlineLevel="0" collapsed="false">
      <c r="A175" s="22"/>
      <c r="B175" s="18"/>
      <c r="C175" s="18"/>
      <c r="D175" s="19" t="str">
        <f aca="false">IF($C175="","",IFERROR(INDEX(Estoque!$C$6:$C$45,MATCH($C175,Estoque!$A$6:$A$45,0)),"Código não encontrado"))</f>
        <v/>
      </c>
      <c r="E175" s="19" t="str">
        <f aca="false">IF($C175="","",IFERROR(INDEX(Estoque!$B$6:$B$45,MATCH($C175,Estoque!$A$6:$A$45,0)),"Código não encontrado"))</f>
        <v/>
      </c>
      <c r="F175" s="18"/>
      <c r="G175" s="18"/>
      <c r="H175" s="18"/>
      <c r="I175" s="20" t="str">
        <f aca="false">IF(OR($B175="",$C175=""),"",IF(OR($B175="Retorno de sobra",$B175="Saída de sobra"),IFERROR(VLOOKUP($G175,Listas!$A$2:$B$5,2,FALSE()),0)*IF($H175="",1,$H175),$H175))</f>
        <v/>
      </c>
      <c r="J175" s="21" t="str">
        <f aca="false">IF($C175="","",IF(ISNA(MATCH($C175,Estoque!$A$6:$A$45,0)),"⚠ Código não encontrado",IF(AND(OR($B175="Retorno de sobra",$B175="Saída de sobra"),$G175=""),"⚠ Escolha a medida da sobra",IF(AND(OR($B175="Entrada",$B175="Saída"),$H175=""),"⚠ Informe a quantidade","OK"))))</f>
        <v/>
      </c>
    </row>
    <row r="176" customFormat="false" ht="15" hidden="false" customHeight="false" outlineLevel="0" collapsed="false">
      <c r="A176" s="22"/>
      <c r="B176" s="18"/>
      <c r="C176" s="18"/>
      <c r="D176" s="19" t="str">
        <f aca="false">IF($C176="","",IFERROR(INDEX(Estoque!$C$6:$C$45,MATCH($C176,Estoque!$A$6:$A$45,0)),"Código não encontrado"))</f>
        <v/>
      </c>
      <c r="E176" s="19" t="str">
        <f aca="false">IF($C176="","",IFERROR(INDEX(Estoque!$B$6:$B$45,MATCH($C176,Estoque!$A$6:$A$45,0)),"Código não encontrado"))</f>
        <v/>
      </c>
      <c r="F176" s="18"/>
      <c r="G176" s="18"/>
      <c r="H176" s="18"/>
      <c r="I176" s="20" t="str">
        <f aca="false">IF(OR($B176="",$C176=""),"",IF(OR($B176="Retorno de sobra",$B176="Saída de sobra"),IFERROR(VLOOKUP($G176,Listas!$A$2:$B$5,2,FALSE()),0)*IF($H176="",1,$H176),$H176))</f>
        <v/>
      </c>
      <c r="J176" s="21" t="str">
        <f aca="false">IF($C176="","",IF(ISNA(MATCH($C176,Estoque!$A$6:$A$45,0)),"⚠ Código não encontrado",IF(AND(OR($B176="Retorno de sobra",$B176="Saída de sobra"),$G176=""),"⚠ Escolha a medida da sobra",IF(AND(OR($B176="Entrada",$B176="Saída"),$H176=""),"⚠ Informe a quantidade","OK"))))</f>
        <v/>
      </c>
    </row>
    <row r="177" customFormat="false" ht="15" hidden="false" customHeight="false" outlineLevel="0" collapsed="false">
      <c r="A177" s="22"/>
      <c r="B177" s="18"/>
      <c r="C177" s="18"/>
      <c r="D177" s="19" t="str">
        <f aca="false">IF($C177="","",IFERROR(INDEX(Estoque!$C$6:$C$45,MATCH($C177,Estoque!$A$6:$A$45,0)),"Código não encontrado"))</f>
        <v/>
      </c>
      <c r="E177" s="19" t="str">
        <f aca="false">IF($C177="","",IFERROR(INDEX(Estoque!$B$6:$B$45,MATCH($C177,Estoque!$A$6:$A$45,0)),"Código não encontrado"))</f>
        <v/>
      </c>
      <c r="F177" s="18"/>
      <c r="G177" s="18"/>
      <c r="H177" s="18"/>
      <c r="I177" s="20" t="str">
        <f aca="false">IF(OR($B177="",$C177=""),"",IF(OR($B177="Retorno de sobra",$B177="Saída de sobra"),IFERROR(VLOOKUP($G177,Listas!$A$2:$B$5,2,FALSE()),0)*IF($H177="",1,$H177),$H177))</f>
        <v/>
      </c>
      <c r="J177" s="21" t="str">
        <f aca="false">IF($C177="","",IF(ISNA(MATCH($C177,Estoque!$A$6:$A$45,0)),"⚠ Código não encontrado",IF(AND(OR($B177="Retorno de sobra",$B177="Saída de sobra"),$G177=""),"⚠ Escolha a medida da sobra",IF(AND(OR($B177="Entrada",$B177="Saída"),$H177=""),"⚠ Informe a quantidade","OK"))))</f>
        <v/>
      </c>
    </row>
    <row r="178" customFormat="false" ht="15" hidden="false" customHeight="false" outlineLevel="0" collapsed="false">
      <c r="A178" s="22"/>
      <c r="B178" s="18"/>
      <c r="C178" s="18"/>
      <c r="D178" s="19" t="str">
        <f aca="false">IF($C178="","",IFERROR(INDEX(Estoque!$C$6:$C$45,MATCH($C178,Estoque!$A$6:$A$45,0)),"Código não encontrado"))</f>
        <v/>
      </c>
      <c r="E178" s="19" t="str">
        <f aca="false">IF($C178="","",IFERROR(INDEX(Estoque!$B$6:$B$45,MATCH($C178,Estoque!$A$6:$A$45,0)),"Código não encontrado"))</f>
        <v/>
      </c>
      <c r="F178" s="18"/>
      <c r="G178" s="18"/>
      <c r="H178" s="18"/>
      <c r="I178" s="20" t="str">
        <f aca="false">IF(OR($B178="",$C178=""),"",IF(OR($B178="Retorno de sobra",$B178="Saída de sobra"),IFERROR(VLOOKUP($G178,Listas!$A$2:$B$5,2,FALSE()),0)*IF($H178="",1,$H178),$H178))</f>
        <v/>
      </c>
      <c r="J178" s="21" t="str">
        <f aca="false">IF($C178="","",IF(ISNA(MATCH($C178,Estoque!$A$6:$A$45,0)),"⚠ Código não encontrado",IF(AND(OR($B178="Retorno de sobra",$B178="Saída de sobra"),$G178=""),"⚠ Escolha a medida da sobra",IF(AND(OR($B178="Entrada",$B178="Saída"),$H178=""),"⚠ Informe a quantidade","OK"))))</f>
        <v/>
      </c>
    </row>
    <row r="179" customFormat="false" ht="15" hidden="false" customHeight="false" outlineLevel="0" collapsed="false">
      <c r="A179" s="22"/>
      <c r="B179" s="18"/>
      <c r="C179" s="18"/>
      <c r="D179" s="19" t="str">
        <f aca="false">IF($C179="","",IFERROR(INDEX(Estoque!$C$6:$C$45,MATCH($C179,Estoque!$A$6:$A$45,0)),"Código não encontrado"))</f>
        <v/>
      </c>
      <c r="E179" s="19" t="str">
        <f aca="false">IF($C179="","",IFERROR(INDEX(Estoque!$B$6:$B$45,MATCH($C179,Estoque!$A$6:$A$45,0)),"Código não encontrado"))</f>
        <v/>
      </c>
      <c r="F179" s="18"/>
      <c r="G179" s="18"/>
      <c r="H179" s="18"/>
      <c r="I179" s="20" t="str">
        <f aca="false">IF(OR($B179="",$C179=""),"",IF(OR($B179="Retorno de sobra",$B179="Saída de sobra"),IFERROR(VLOOKUP($G179,Listas!$A$2:$B$5,2,FALSE()),0)*IF($H179="",1,$H179),$H179))</f>
        <v/>
      </c>
      <c r="J179" s="21" t="str">
        <f aca="false">IF($C179="","",IF(ISNA(MATCH($C179,Estoque!$A$6:$A$45,0)),"⚠ Código não encontrado",IF(AND(OR($B179="Retorno de sobra",$B179="Saída de sobra"),$G179=""),"⚠ Escolha a medida da sobra",IF(AND(OR($B179="Entrada",$B179="Saída"),$H179=""),"⚠ Informe a quantidade","OK"))))</f>
        <v/>
      </c>
    </row>
    <row r="180" customFormat="false" ht="15" hidden="false" customHeight="false" outlineLevel="0" collapsed="false">
      <c r="A180" s="22"/>
      <c r="B180" s="18"/>
      <c r="C180" s="18"/>
      <c r="D180" s="19" t="str">
        <f aca="false">IF($C180="","",IFERROR(INDEX(Estoque!$C$6:$C$45,MATCH($C180,Estoque!$A$6:$A$45,0)),"Código não encontrado"))</f>
        <v/>
      </c>
      <c r="E180" s="19" t="str">
        <f aca="false">IF($C180="","",IFERROR(INDEX(Estoque!$B$6:$B$45,MATCH($C180,Estoque!$A$6:$A$45,0)),"Código não encontrado"))</f>
        <v/>
      </c>
      <c r="F180" s="18"/>
      <c r="G180" s="18"/>
      <c r="H180" s="18"/>
      <c r="I180" s="20" t="str">
        <f aca="false">IF(OR($B180="",$C180=""),"",IF(OR($B180="Retorno de sobra",$B180="Saída de sobra"),IFERROR(VLOOKUP($G180,Listas!$A$2:$B$5,2,FALSE()),0)*IF($H180="",1,$H180),$H180))</f>
        <v/>
      </c>
      <c r="J180" s="21" t="str">
        <f aca="false">IF($C180="","",IF(ISNA(MATCH($C180,Estoque!$A$6:$A$45,0)),"⚠ Código não encontrado",IF(AND(OR($B180="Retorno de sobra",$B180="Saída de sobra"),$G180=""),"⚠ Escolha a medida da sobra",IF(AND(OR($B180="Entrada",$B180="Saída"),$H180=""),"⚠ Informe a quantidade","OK"))))</f>
        <v/>
      </c>
    </row>
    <row r="181" customFormat="false" ht="15" hidden="false" customHeight="false" outlineLevel="0" collapsed="false">
      <c r="A181" s="22"/>
      <c r="B181" s="18"/>
      <c r="C181" s="18"/>
      <c r="D181" s="19" t="str">
        <f aca="false">IF($C181="","",IFERROR(INDEX(Estoque!$C$6:$C$45,MATCH($C181,Estoque!$A$6:$A$45,0)),"Código não encontrado"))</f>
        <v/>
      </c>
      <c r="E181" s="19" t="str">
        <f aca="false">IF($C181="","",IFERROR(INDEX(Estoque!$B$6:$B$45,MATCH($C181,Estoque!$A$6:$A$45,0)),"Código não encontrado"))</f>
        <v/>
      </c>
      <c r="F181" s="18"/>
      <c r="G181" s="18"/>
      <c r="H181" s="18"/>
      <c r="I181" s="20" t="str">
        <f aca="false">IF(OR($B181="",$C181=""),"",IF(OR($B181="Retorno de sobra",$B181="Saída de sobra"),IFERROR(VLOOKUP($G181,Listas!$A$2:$B$5,2,FALSE()),0)*IF($H181="",1,$H181),$H181))</f>
        <v/>
      </c>
      <c r="J181" s="21" t="str">
        <f aca="false">IF($C181="","",IF(ISNA(MATCH($C181,Estoque!$A$6:$A$45,0)),"⚠ Código não encontrado",IF(AND(OR($B181="Retorno de sobra",$B181="Saída de sobra"),$G181=""),"⚠ Escolha a medida da sobra",IF(AND(OR($B181="Entrada",$B181="Saída"),$H181=""),"⚠ Informe a quantidade","OK"))))</f>
        <v/>
      </c>
    </row>
    <row r="182" customFormat="false" ht="15" hidden="false" customHeight="false" outlineLevel="0" collapsed="false">
      <c r="A182" s="22"/>
      <c r="B182" s="18"/>
      <c r="C182" s="18"/>
      <c r="D182" s="19" t="str">
        <f aca="false">IF($C182="","",IFERROR(INDEX(Estoque!$C$6:$C$45,MATCH($C182,Estoque!$A$6:$A$45,0)),"Código não encontrado"))</f>
        <v/>
      </c>
      <c r="E182" s="19" t="str">
        <f aca="false">IF($C182="","",IFERROR(INDEX(Estoque!$B$6:$B$45,MATCH($C182,Estoque!$A$6:$A$45,0)),"Código não encontrado"))</f>
        <v/>
      </c>
      <c r="F182" s="18"/>
      <c r="G182" s="18"/>
      <c r="H182" s="18"/>
      <c r="I182" s="20" t="str">
        <f aca="false">IF(OR($B182="",$C182=""),"",IF(OR($B182="Retorno de sobra",$B182="Saída de sobra"),IFERROR(VLOOKUP($G182,Listas!$A$2:$B$5,2,FALSE()),0)*IF($H182="",1,$H182),$H182))</f>
        <v/>
      </c>
      <c r="J182" s="21" t="str">
        <f aca="false">IF($C182="","",IF(ISNA(MATCH($C182,Estoque!$A$6:$A$45,0)),"⚠ Código não encontrado",IF(AND(OR($B182="Retorno de sobra",$B182="Saída de sobra"),$G182=""),"⚠ Escolha a medida da sobra",IF(AND(OR($B182="Entrada",$B182="Saída"),$H182=""),"⚠ Informe a quantidade","OK"))))</f>
        <v/>
      </c>
    </row>
    <row r="183" customFormat="false" ht="15" hidden="false" customHeight="false" outlineLevel="0" collapsed="false">
      <c r="A183" s="22"/>
      <c r="B183" s="18"/>
      <c r="C183" s="18"/>
      <c r="D183" s="19" t="str">
        <f aca="false">IF($C183="","",IFERROR(INDEX(Estoque!$C$6:$C$45,MATCH($C183,Estoque!$A$6:$A$45,0)),"Código não encontrado"))</f>
        <v/>
      </c>
      <c r="E183" s="19" t="str">
        <f aca="false">IF($C183="","",IFERROR(INDEX(Estoque!$B$6:$B$45,MATCH($C183,Estoque!$A$6:$A$45,0)),"Código não encontrado"))</f>
        <v/>
      </c>
      <c r="F183" s="18"/>
      <c r="G183" s="18"/>
      <c r="H183" s="18"/>
      <c r="I183" s="20" t="str">
        <f aca="false">IF(OR($B183="",$C183=""),"",IF(OR($B183="Retorno de sobra",$B183="Saída de sobra"),IFERROR(VLOOKUP($G183,Listas!$A$2:$B$5,2,FALSE()),0)*IF($H183="",1,$H183),$H183))</f>
        <v/>
      </c>
      <c r="J183" s="21" t="str">
        <f aca="false">IF($C183="","",IF(ISNA(MATCH($C183,Estoque!$A$6:$A$45,0)),"⚠ Código não encontrado",IF(AND(OR($B183="Retorno de sobra",$B183="Saída de sobra"),$G183=""),"⚠ Escolha a medida da sobra",IF(AND(OR($B183="Entrada",$B183="Saída"),$H183=""),"⚠ Informe a quantidade","OK"))))</f>
        <v/>
      </c>
    </row>
    <row r="184" customFormat="false" ht="15" hidden="false" customHeight="false" outlineLevel="0" collapsed="false">
      <c r="A184" s="22"/>
      <c r="B184" s="18"/>
      <c r="C184" s="18"/>
      <c r="D184" s="19" t="str">
        <f aca="false">IF($C184="","",IFERROR(INDEX(Estoque!$C$6:$C$45,MATCH($C184,Estoque!$A$6:$A$45,0)),"Código não encontrado"))</f>
        <v/>
      </c>
      <c r="E184" s="19" t="str">
        <f aca="false">IF($C184="","",IFERROR(INDEX(Estoque!$B$6:$B$45,MATCH($C184,Estoque!$A$6:$A$45,0)),"Código não encontrado"))</f>
        <v/>
      </c>
      <c r="F184" s="18"/>
      <c r="G184" s="18"/>
      <c r="H184" s="18"/>
      <c r="I184" s="20" t="str">
        <f aca="false">IF(OR($B184="",$C184=""),"",IF(OR($B184="Retorno de sobra",$B184="Saída de sobra"),IFERROR(VLOOKUP($G184,Listas!$A$2:$B$5,2,FALSE()),0)*IF($H184="",1,$H184),$H184))</f>
        <v/>
      </c>
      <c r="J184" s="21" t="str">
        <f aca="false">IF($C184="","",IF(ISNA(MATCH($C184,Estoque!$A$6:$A$45,0)),"⚠ Código não encontrado",IF(AND(OR($B184="Retorno de sobra",$B184="Saída de sobra"),$G184=""),"⚠ Escolha a medida da sobra",IF(AND(OR($B184="Entrada",$B184="Saída"),$H184=""),"⚠ Informe a quantidade","OK"))))</f>
        <v/>
      </c>
    </row>
    <row r="185" customFormat="false" ht="15" hidden="false" customHeight="false" outlineLevel="0" collapsed="false">
      <c r="A185" s="22"/>
      <c r="B185" s="18"/>
      <c r="C185" s="18"/>
      <c r="D185" s="19" t="str">
        <f aca="false">IF($C185="","",IFERROR(INDEX(Estoque!$C$6:$C$45,MATCH($C185,Estoque!$A$6:$A$45,0)),"Código não encontrado"))</f>
        <v/>
      </c>
      <c r="E185" s="19" t="str">
        <f aca="false">IF($C185="","",IFERROR(INDEX(Estoque!$B$6:$B$45,MATCH($C185,Estoque!$A$6:$A$45,0)),"Código não encontrado"))</f>
        <v/>
      </c>
      <c r="F185" s="18"/>
      <c r="G185" s="18"/>
      <c r="H185" s="18"/>
      <c r="I185" s="20" t="str">
        <f aca="false">IF(OR($B185="",$C185=""),"",IF(OR($B185="Retorno de sobra",$B185="Saída de sobra"),IFERROR(VLOOKUP($G185,Listas!$A$2:$B$5,2,FALSE()),0)*IF($H185="",1,$H185),$H185))</f>
        <v/>
      </c>
      <c r="J185" s="21" t="str">
        <f aca="false">IF($C185="","",IF(ISNA(MATCH($C185,Estoque!$A$6:$A$45,0)),"⚠ Código não encontrado",IF(AND(OR($B185="Retorno de sobra",$B185="Saída de sobra"),$G185=""),"⚠ Escolha a medida da sobra",IF(AND(OR($B185="Entrada",$B185="Saída"),$H185=""),"⚠ Informe a quantidade","OK"))))</f>
        <v/>
      </c>
    </row>
    <row r="186" customFormat="false" ht="15" hidden="false" customHeight="false" outlineLevel="0" collapsed="false">
      <c r="A186" s="22"/>
      <c r="B186" s="18"/>
      <c r="C186" s="18"/>
      <c r="D186" s="19" t="str">
        <f aca="false">IF($C186="","",IFERROR(INDEX(Estoque!$C$6:$C$45,MATCH($C186,Estoque!$A$6:$A$45,0)),"Código não encontrado"))</f>
        <v/>
      </c>
      <c r="E186" s="19" t="str">
        <f aca="false">IF($C186="","",IFERROR(INDEX(Estoque!$B$6:$B$45,MATCH($C186,Estoque!$A$6:$A$45,0)),"Código não encontrado"))</f>
        <v/>
      </c>
      <c r="F186" s="18"/>
      <c r="G186" s="18"/>
      <c r="H186" s="18"/>
      <c r="I186" s="20" t="str">
        <f aca="false">IF(OR($B186="",$C186=""),"",IF(OR($B186="Retorno de sobra",$B186="Saída de sobra"),IFERROR(VLOOKUP($G186,Listas!$A$2:$B$5,2,FALSE()),0)*IF($H186="",1,$H186),$H186))</f>
        <v/>
      </c>
      <c r="J186" s="21" t="str">
        <f aca="false">IF($C186="","",IF(ISNA(MATCH($C186,Estoque!$A$6:$A$45,0)),"⚠ Código não encontrado",IF(AND(OR($B186="Retorno de sobra",$B186="Saída de sobra"),$G186=""),"⚠ Escolha a medida da sobra",IF(AND(OR($B186="Entrada",$B186="Saída"),$H186=""),"⚠ Informe a quantidade","OK"))))</f>
        <v/>
      </c>
    </row>
    <row r="187" customFormat="false" ht="15" hidden="false" customHeight="false" outlineLevel="0" collapsed="false">
      <c r="A187" s="22"/>
      <c r="B187" s="18"/>
      <c r="C187" s="18"/>
      <c r="D187" s="19" t="str">
        <f aca="false">IF($C187="","",IFERROR(INDEX(Estoque!$C$6:$C$45,MATCH($C187,Estoque!$A$6:$A$45,0)),"Código não encontrado"))</f>
        <v/>
      </c>
      <c r="E187" s="19" t="str">
        <f aca="false">IF($C187="","",IFERROR(INDEX(Estoque!$B$6:$B$45,MATCH($C187,Estoque!$A$6:$A$45,0)),"Código não encontrado"))</f>
        <v/>
      </c>
      <c r="F187" s="18"/>
      <c r="G187" s="18"/>
      <c r="H187" s="18"/>
      <c r="I187" s="20" t="str">
        <f aca="false">IF(OR($B187="",$C187=""),"",IF(OR($B187="Retorno de sobra",$B187="Saída de sobra"),IFERROR(VLOOKUP($G187,Listas!$A$2:$B$5,2,FALSE()),0)*IF($H187="",1,$H187),$H187))</f>
        <v/>
      </c>
      <c r="J187" s="21" t="str">
        <f aca="false">IF($C187="","",IF(ISNA(MATCH($C187,Estoque!$A$6:$A$45,0)),"⚠ Código não encontrado",IF(AND(OR($B187="Retorno de sobra",$B187="Saída de sobra"),$G187=""),"⚠ Escolha a medida da sobra",IF(AND(OR($B187="Entrada",$B187="Saída"),$H187=""),"⚠ Informe a quantidade","OK"))))</f>
        <v/>
      </c>
    </row>
    <row r="188" customFormat="false" ht="15" hidden="false" customHeight="false" outlineLevel="0" collapsed="false">
      <c r="A188" s="22"/>
      <c r="B188" s="18"/>
      <c r="C188" s="18"/>
      <c r="D188" s="19" t="str">
        <f aca="false">IF($C188="","",IFERROR(INDEX(Estoque!$C$6:$C$45,MATCH($C188,Estoque!$A$6:$A$45,0)),"Código não encontrado"))</f>
        <v/>
      </c>
      <c r="E188" s="19" t="str">
        <f aca="false">IF($C188="","",IFERROR(INDEX(Estoque!$B$6:$B$45,MATCH($C188,Estoque!$A$6:$A$45,0)),"Código não encontrado"))</f>
        <v/>
      </c>
      <c r="F188" s="18"/>
      <c r="G188" s="18"/>
      <c r="H188" s="18"/>
      <c r="I188" s="20" t="str">
        <f aca="false">IF(OR($B188="",$C188=""),"",IF(OR($B188="Retorno de sobra",$B188="Saída de sobra"),IFERROR(VLOOKUP($G188,Listas!$A$2:$B$5,2,FALSE()),0)*IF($H188="",1,$H188),$H188))</f>
        <v/>
      </c>
      <c r="J188" s="21" t="str">
        <f aca="false">IF($C188="","",IF(ISNA(MATCH($C188,Estoque!$A$6:$A$45,0)),"⚠ Código não encontrado",IF(AND(OR($B188="Retorno de sobra",$B188="Saída de sobra"),$G188=""),"⚠ Escolha a medida da sobra",IF(AND(OR($B188="Entrada",$B188="Saída"),$H188=""),"⚠ Informe a quantidade","OK"))))</f>
        <v/>
      </c>
    </row>
    <row r="189" customFormat="false" ht="15" hidden="false" customHeight="false" outlineLevel="0" collapsed="false">
      <c r="A189" s="22"/>
      <c r="B189" s="18"/>
      <c r="C189" s="18"/>
      <c r="D189" s="19" t="str">
        <f aca="false">IF($C189="","",IFERROR(INDEX(Estoque!$C$6:$C$45,MATCH($C189,Estoque!$A$6:$A$45,0)),"Código não encontrado"))</f>
        <v/>
      </c>
      <c r="E189" s="19" t="str">
        <f aca="false">IF($C189="","",IFERROR(INDEX(Estoque!$B$6:$B$45,MATCH($C189,Estoque!$A$6:$A$45,0)),"Código não encontrado"))</f>
        <v/>
      </c>
      <c r="F189" s="18"/>
      <c r="G189" s="18"/>
      <c r="H189" s="18"/>
      <c r="I189" s="20" t="str">
        <f aca="false">IF(OR($B189="",$C189=""),"",IF(OR($B189="Retorno de sobra",$B189="Saída de sobra"),IFERROR(VLOOKUP($G189,Listas!$A$2:$B$5,2,FALSE()),0)*IF($H189="",1,$H189),$H189))</f>
        <v/>
      </c>
      <c r="J189" s="21" t="str">
        <f aca="false">IF($C189="","",IF(ISNA(MATCH($C189,Estoque!$A$6:$A$45,0)),"⚠ Código não encontrado",IF(AND(OR($B189="Retorno de sobra",$B189="Saída de sobra"),$G189=""),"⚠ Escolha a medida da sobra",IF(AND(OR($B189="Entrada",$B189="Saída"),$H189=""),"⚠ Informe a quantidade","OK"))))</f>
        <v/>
      </c>
    </row>
    <row r="190" customFormat="false" ht="15" hidden="false" customHeight="false" outlineLevel="0" collapsed="false">
      <c r="A190" s="22"/>
      <c r="B190" s="18"/>
      <c r="C190" s="18"/>
      <c r="D190" s="19" t="str">
        <f aca="false">IF($C190="","",IFERROR(INDEX(Estoque!$C$6:$C$45,MATCH($C190,Estoque!$A$6:$A$45,0)),"Código não encontrado"))</f>
        <v/>
      </c>
      <c r="E190" s="19" t="str">
        <f aca="false">IF($C190="","",IFERROR(INDEX(Estoque!$B$6:$B$45,MATCH($C190,Estoque!$A$6:$A$45,0)),"Código não encontrado"))</f>
        <v/>
      </c>
      <c r="F190" s="18"/>
      <c r="G190" s="18"/>
      <c r="H190" s="18"/>
      <c r="I190" s="20" t="str">
        <f aca="false">IF(OR($B190="",$C190=""),"",IF(OR($B190="Retorno de sobra",$B190="Saída de sobra"),IFERROR(VLOOKUP($G190,Listas!$A$2:$B$5,2,FALSE()),0)*IF($H190="",1,$H190),$H190))</f>
        <v/>
      </c>
      <c r="J190" s="21" t="str">
        <f aca="false">IF($C190="","",IF(ISNA(MATCH($C190,Estoque!$A$6:$A$45,0)),"⚠ Código não encontrado",IF(AND(OR($B190="Retorno de sobra",$B190="Saída de sobra"),$G190=""),"⚠ Escolha a medida da sobra",IF(AND(OR($B190="Entrada",$B190="Saída"),$H190=""),"⚠ Informe a quantidade","OK"))))</f>
        <v/>
      </c>
    </row>
    <row r="191" customFormat="false" ht="15" hidden="false" customHeight="false" outlineLevel="0" collapsed="false">
      <c r="A191" s="22"/>
      <c r="B191" s="18"/>
      <c r="C191" s="18"/>
      <c r="D191" s="19" t="str">
        <f aca="false">IF($C191="","",IFERROR(INDEX(Estoque!$C$6:$C$45,MATCH($C191,Estoque!$A$6:$A$45,0)),"Código não encontrado"))</f>
        <v/>
      </c>
      <c r="E191" s="19" t="str">
        <f aca="false">IF($C191="","",IFERROR(INDEX(Estoque!$B$6:$B$45,MATCH($C191,Estoque!$A$6:$A$45,0)),"Código não encontrado"))</f>
        <v/>
      </c>
      <c r="F191" s="18"/>
      <c r="G191" s="18"/>
      <c r="H191" s="18"/>
      <c r="I191" s="20" t="str">
        <f aca="false">IF(OR($B191="",$C191=""),"",IF(OR($B191="Retorno de sobra",$B191="Saída de sobra"),IFERROR(VLOOKUP($G191,Listas!$A$2:$B$5,2,FALSE()),0)*IF($H191="",1,$H191),$H191))</f>
        <v/>
      </c>
      <c r="J191" s="21" t="str">
        <f aca="false">IF($C191="","",IF(ISNA(MATCH($C191,Estoque!$A$6:$A$45,0)),"⚠ Código não encontrado",IF(AND(OR($B191="Retorno de sobra",$B191="Saída de sobra"),$G191=""),"⚠ Escolha a medida da sobra",IF(AND(OR($B191="Entrada",$B191="Saída"),$H191=""),"⚠ Informe a quantidade","OK"))))</f>
        <v/>
      </c>
    </row>
    <row r="192" customFormat="false" ht="15" hidden="false" customHeight="false" outlineLevel="0" collapsed="false">
      <c r="A192" s="22"/>
      <c r="B192" s="18"/>
      <c r="C192" s="18"/>
      <c r="D192" s="19" t="str">
        <f aca="false">IF($C192="","",IFERROR(INDEX(Estoque!$C$6:$C$45,MATCH($C192,Estoque!$A$6:$A$45,0)),"Código não encontrado"))</f>
        <v/>
      </c>
      <c r="E192" s="19" t="str">
        <f aca="false">IF($C192="","",IFERROR(INDEX(Estoque!$B$6:$B$45,MATCH($C192,Estoque!$A$6:$A$45,0)),"Código não encontrado"))</f>
        <v/>
      </c>
      <c r="F192" s="18"/>
      <c r="G192" s="18"/>
      <c r="H192" s="18"/>
      <c r="I192" s="20" t="str">
        <f aca="false">IF(OR($B192="",$C192=""),"",IF(OR($B192="Retorno de sobra",$B192="Saída de sobra"),IFERROR(VLOOKUP($G192,Listas!$A$2:$B$5,2,FALSE()),0)*IF($H192="",1,$H192),$H192))</f>
        <v/>
      </c>
      <c r="J192" s="21" t="str">
        <f aca="false">IF($C192="","",IF(ISNA(MATCH($C192,Estoque!$A$6:$A$45,0)),"⚠ Código não encontrado",IF(AND(OR($B192="Retorno de sobra",$B192="Saída de sobra"),$G192=""),"⚠ Escolha a medida da sobra",IF(AND(OR($B192="Entrada",$B192="Saída"),$H192=""),"⚠ Informe a quantidade","OK"))))</f>
        <v/>
      </c>
    </row>
    <row r="193" customFormat="false" ht="15" hidden="false" customHeight="false" outlineLevel="0" collapsed="false">
      <c r="A193" s="22"/>
      <c r="B193" s="18"/>
      <c r="C193" s="18"/>
      <c r="D193" s="19" t="str">
        <f aca="false">IF($C193="","",IFERROR(INDEX(Estoque!$C$6:$C$45,MATCH($C193,Estoque!$A$6:$A$45,0)),"Código não encontrado"))</f>
        <v/>
      </c>
      <c r="E193" s="19" t="str">
        <f aca="false">IF($C193="","",IFERROR(INDEX(Estoque!$B$6:$B$45,MATCH($C193,Estoque!$A$6:$A$45,0)),"Código não encontrado"))</f>
        <v/>
      </c>
      <c r="F193" s="18"/>
      <c r="G193" s="18"/>
      <c r="H193" s="18"/>
      <c r="I193" s="20" t="str">
        <f aca="false">IF(OR($B193="",$C193=""),"",IF(OR($B193="Retorno de sobra",$B193="Saída de sobra"),IFERROR(VLOOKUP($G193,Listas!$A$2:$B$5,2,FALSE()),0)*IF($H193="",1,$H193),$H193))</f>
        <v/>
      </c>
      <c r="J193" s="21" t="str">
        <f aca="false">IF($C193="","",IF(ISNA(MATCH($C193,Estoque!$A$6:$A$45,0)),"⚠ Código não encontrado",IF(AND(OR($B193="Retorno de sobra",$B193="Saída de sobra"),$G193=""),"⚠ Escolha a medida da sobra",IF(AND(OR($B193="Entrada",$B193="Saída"),$H193=""),"⚠ Informe a quantidade","OK"))))</f>
        <v/>
      </c>
    </row>
    <row r="194" customFormat="false" ht="15" hidden="false" customHeight="false" outlineLevel="0" collapsed="false">
      <c r="A194" s="22"/>
      <c r="B194" s="18"/>
      <c r="C194" s="18"/>
      <c r="D194" s="19" t="str">
        <f aca="false">IF($C194="","",IFERROR(INDEX(Estoque!$C$6:$C$45,MATCH($C194,Estoque!$A$6:$A$45,0)),"Código não encontrado"))</f>
        <v/>
      </c>
      <c r="E194" s="19" t="str">
        <f aca="false">IF($C194="","",IFERROR(INDEX(Estoque!$B$6:$B$45,MATCH($C194,Estoque!$A$6:$A$45,0)),"Código não encontrado"))</f>
        <v/>
      </c>
      <c r="F194" s="18"/>
      <c r="G194" s="18"/>
      <c r="H194" s="18"/>
      <c r="I194" s="20" t="str">
        <f aca="false">IF(OR($B194="",$C194=""),"",IF(OR($B194="Retorno de sobra",$B194="Saída de sobra"),IFERROR(VLOOKUP($G194,Listas!$A$2:$B$5,2,FALSE()),0)*IF($H194="",1,$H194),$H194))</f>
        <v/>
      </c>
      <c r="J194" s="21" t="str">
        <f aca="false">IF($C194="","",IF(ISNA(MATCH($C194,Estoque!$A$6:$A$45,0)),"⚠ Código não encontrado",IF(AND(OR($B194="Retorno de sobra",$B194="Saída de sobra"),$G194=""),"⚠ Escolha a medida da sobra",IF(AND(OR($B194="Entrada",$B194="Saída"),$H194=""),"⚠ Informe a quantidade","OK"))))</f>
        <v/>
      </c>
    </row>
    <row r="195" customFormat="false" ht="15" hidden="false" customHeight="false" outlineLevel="0" collapsed="false">
      <c r="A195" s="22"/>
      <c r="B195" s="18"/>
      <c r="C195" s="18"/>
      <c r="D195" s="19" t="str">
        <f aca="false">IF($C195="","",IFERROR(INDEX(Estoque!$C$6:$C$45,MATCH($C195,Estoque!$A$6:$A$45,0)),"Código não encontrado"))</f>
        <v/>
      </c>
      <c r="E195" s="19" t="str">
        <f aca="false">IF($C195="","",IFERROR(INDEX(Estoque!$B$6:$B$45,MATCH($C195,Estoque!$A$6:$A$45,0)),"Código não encontrado"))</f>
        <v/>
      </c>
      <c r="F195" s="18"/>
      <c r="G195" s="18"/>
      <c r="H195" s="18"/>
      <c r="I195" s="20" t="str">
        <f aca="false">IF(OR($B195="",$C195=""),"",IF(OR($B195="Retorno de sobra",$B195="Saída de sobra"),IFERROR(VLOOKUP($G195,Listas!$A$2:$B$5,2,FALSE()),0)*IF($H195="",1,$H195),$H195))</f>
        <v/>
      </c>
      <c r="J195" s="21" t="str">
        <f aca="false">IF($C195="","",IF(ISNA(MATCH($C195,Estoque!$A$6:$A$45,0)),"⚠ Código não encontrado",IF(AND(OR($B195="Retorno de sobra",$B195="Saída de sobra"),$G195=""),"⚠ Escolha a medida da sobra",IF(AND(OR($B195="Entrada",$B195="Saída"),$H195=""),"⚠ Informe a quantidade","OK"))))</f>
        <v/>
      </c>
    </row>
    <row r="196" customFormat="false" ht="15" hidden="false" customHeight="false" outlineLevel="0" collapsed="false">
      <c r="A196" s="22"/>
      <c r="B196" s="18"/>
      <c r="C196" s="18"/>
      <c r="D196" s="19" t="str">
        <f aca="false">IF($C196="","",IFERROR(INDEX(Estoque!$C$6:$C$45,MATCH($C196,Estoque!$A$6:$A$45,0)),"Código não encontrado"))</f>
        <v/>
      </c>
      <c r="E196" s="19" t="str">
        <f aca="false">IF($C196="","",IFERROR(INDEX(Estoque!$B$6:$B$45,MATCH($C196,Estoque!$A$6:$A$45,0)),"Código não encontrado"))</f>
        <v/>
      </c>
      <c r="F196" s="18"/>
      <c r="G196" s="18"/>
      <c r="H196" s="18"/>
      <c r="I196" s="20" t="str">
        <f aca="false">IF(OR($B196="",$C196=""),"",IF(OR($B196="Retorno de sobra",$B196="Saída de sobra"),IFERROR(VLOOKUP($G196,Listas!$A$2:$B$5,2,FALSE()),0)*IF($H196="",1,$H196),$H196))</f>
        <v/>
      </c>
      <c r="J196" s="21" t="str">
        <f aca="false">IF($C196="","",IF(ISNA(MATCH($C196,Estoque!$A$6:$A$45,0)),"⚠ Código não encontrado",IF(AND(OR($B196="Retorno de sobra",$B196="Saída de sobra"),$G196=""),"⚠ Escolha a medida da sobra",IF(AND(OR($B196="Entrada",$B196="Saída"),$H196=""),"⚠ Informe a quantidade","OK"))))</f>
        <v/>
      </c>
    </row>
    <row r="197" customFormat="false" ht="15" hidden="false" customHeight="false" outlineLevel="0" collapsed="false">
      <c r="A197" s="22"/>
      <c r="B197" s="18"/>
      <c r="C197" s="18"/>
      <c r="D197" s="19" t="str">
        <f aca="false">IF($C197="","",IFERROR(INDEX(Estoque!$C$6:$C$45,MATCH($C197,Estoque!$A$6:$A$45,0)),"Código não encontrado"))</f>
        <v/>
      </c>
      <c r="E197" s="19" t="str">
        <f aca="false">IF($C197="","",IFERROR(INDEX(Estoque!$B$6:$B$45,MATCH($C197,Estoque!$A$6:$A$45,0)),"Código não encontrado"))</f>
        <v/>
      </c>
      <c r="F197" s="18"/>
      <c r="G197" s="18"/>
      <c r="H197" s="18"/>
      <c r="I197" s="20" t="str">
        <f aca="false">IF(OR($B197="",$C197=""),"",IF(OR($B197="Retorno de sobra",$B197="Saída de sobra"),IFERROR(VLOOKUP($G197,Listas!$A$2:$B$5,2,FALSE()),0)*IF($H197="",1,$H197),$H197))</f>
        <v/>
      </c>
      <c r="J197" s="21" t="str">
        <f aca="false">IF($C197="","",IF(ISNA(MATCH($C197,Estoque!$A$6:$A$45,0)),"⚠ Código não encontrado",IF(AND(OR($B197="Retorno de sobra",$B197="Saída de sobra"),$G197=""),"⚠ Escolha a medida da sobra",IF(AND(OR($B197="Entrada",$B197="Saída"),$H197=""),"⚠ Informe a quantidade","OK"))))</f>
        <v/>
      </c>
    </row>
    <row r="198" customFormat="false" ht="15" hidden="false" customHeight="false" outlineLevel="0" collapsed="false">
      <c r="A198" s="22"/>
      <c r="B198" s="18"/>
      <c r="C198" s="18"/>
      <c r="D198" s="19" t="str">
        <f aca="false">IF($C198="","",IFERROR(INDEX(Estoque!$C$6:$C$45,MATCH($C198,Estoque!$A$6:$A$45,0)),"Código não encontrado"))</f>
        <v/>
      </c>
      <c r="E198" s="19" t="str">
        <f aca="false">IF($C198="","",IFERROR(INDEX(Estoque!$B$6:$B$45,MATCH($C198,Estoque!$A$6:$A$45,0)),"Código não encontrado"))</f>
        <v/>
      </c>
      <c r="F198" s="18"/>
      <c r="G198" s="18"/>
      <c r="H198" s="18"/>
      <c r="I198" s="20" t="str">
        <f aca="false">IF(OR($B198="",$C198=""),"",IF(OR($B198="Retorno de sobra",$B198="Saída de sobra"),IFERROR(VLOOKUP($G198,Listas!$A$2:$B$5,2,FALSE()),0)*IF($H198="",1,$H198),$H198))</f>
        <v/>
      </c>
      <c r="J198" s="21" t="str">
        <f aca="false">IF($C198="","",IF(ISNA(MATCH($C198,Estoque!$A$6:$A$45,0)),"⚠ Código não encontrado",IF(AND(OR($B198="Retorno de sobra",$B198="Saída de sobra"),$G198=""),"⚠ Escolha a medida da sobra",IF(AND(OR($B198="Entrada",$B198="Saída"),$H198=""),"⚠ Informe a quantidade","OK"))))</f>
        <v/>
      </c>
    </row>
    <row r="199" customFormat="false" ht="15" hidden="false" customHeight="false" outlineLevel="0" collapsed="false">
      <c r="A199" s="22"/>
      <c r="B199" s="18"/>
      <c r="C199" s="18"/>
      <c r="D199" s="19" t="str">
        <f aca="false">IF($C199="","",IFERROR(INDEX(Estoque!$C$6:$C$45,MATCH($C199,Estoque!$A$6:$A$45,0)),"Código não encontrado"))</f>
        <v/>
      </c>
      <c r="E199" s="19" t="str">
        <f aca="false">IF($C199="","",IFERROR(INDEX(Estoque!$B$6:$B$45,MATCH($C199,Estoque!$A$6:$A$45,0)),"Código não encontrado"))</f>
        <v/>
      </c>
      <c r="F199" s="18"/>
      <c r="G199" s="18"/>
      <c r="H199" s="18"/>
      <c r="I199" s="20" t="str">
        <f aca="false">IF(OR($B199="",$C199=""),"",IF(OR($B199="Retorno de sobra",$B199="Saída de sobra"),IFERROR(VLOOKUP($G199,Listas!$A$2:$B$5,2,FALSE()),0)*IF($H199="",1,$H199),$H199))</f>
        <v/>
      </c>
      <c r="J199" s="21" t="str">
        <f aca="false">IF($C199="","",IF(ISNA(MATCH($C199,Estoque!$A$6:$A$45,0)),"⚠ Código não encontrado",IF(AND(OR($B199="Retorno de sobra",$B199="Saída de sobra"),$G199=""),"⚠ Escolha a medida da sobra",IF(AND(OR($B199="Entrada",$B199="Saída"),$H199=""),"⚠ Informe a quantidade","OK"))))</f>
        <v/>
      </c>
    </row>
    <row r="200" customFormat="false" ht="15" hidden="false" customHeight="false" outlineLevel="0" collapsed="false">
      <c r="A200" s="22"/>
      <c r="B200" s="18"/>
      <c r="C200" s="18"/>
      <c r="D200" s="19" t="str">
        <f aca="false">IF($C200="","",IFERROR(INDEX(Estoque!$C$6:$C$45,MATCH($C200,Estoque!$A$6:$A$45,0)),"Código não encontrado"))</f>
        <v/>
      </c>
      <c r="E200" s="19" t="str">
        <f aca="false">IF($C200="","",IFERROR(INDEX(Estoque!$B$6:$B$45,MATCH($C200,Estoque!$A$6:$A$45,0)),"Código não encontrado"))</f>
        <v/>
      </c>
      <c r="F200" s="18"/>
      <c r="G200" s="18"/>
      <c r="H200" s="18"/>
      <c r="I200" s="20" t="str">
        <f aca="false">IF(OR($B200="",$C200=""),"",IF(OR($B200="Retorno de sobra",$B200="Saída de sobra"),IFERROR(VLOOKUP($G200,Listas!$A$2:$B$5,2,FALSE()),0)*IF($H200="",1,$H200),$H200))</f>
        <v/>
      </c>
      <c r="J200" s="21" t="str">
        <f aca="false">IF($C200="","",IF(ISNA(MATCH($C200,Estoque!$A$6:$A$45,0)),"⚠ Código não encontrado",IF(AND(OR($B200="Retorno de sobra",$B200="Saída de sobra"),$G200=""),"⚠ Escolha a medida da sobra",IF(AND(OR($B200="Entrada",$B200="Saída"),$H200=""),"⚠ Informe a quantidade","OK"))))</f>
        <v/>
      </c>
    </row>
    <row r="201" customFormat="false" ht="15" hidden="false" customHeight="false" outlineLevel="0" collapsed="false">
      <c r="A201" s="22"/>
      <c r="B201" s="18"/>
      <c r="C201" s="18"/>
      <c r="D201" s="19" t="str">
        <f aca="false">IF($C201="","",IFERROR(INDEX(Estoque!$C$6:$C$45,MATCH($C201,Estoque!$A$6:$A$45,0)),"Código não encontrado"))</f>
        <v/>
      </c>
      <c r="E201" s="19" t="str">
        <f aca="false">IF($C201="","",IFERROR(INDEX(Estoque!$B$6:$B$45,MATCH($C201,Estoque!$A$6:$A$45,0)),"Código não encontrado"))</f>
        <v/>
      </c>
      <c r="F201" s="18"/>
      <c r="G201" s="18"/>
      <c r="H201" s="18"/>
      <c r="I201" s="20" t="str">
        <f aca="false">IF(OR($B201="",$C201=""),"",IF(OR($B201="Retorno de sobra",$B201="Saída de sobra"),IFERROR(VLOOKUP($G201,Listas!$A$2:$B$5,2,FALSE()),0)*IF($H201="",1,$H201),$H201))</f>
        <v/>
      </c>
      <c r="J201" s="21" t="str">
        <f aca="false">IF($C201="","",IF(ISNA(MATCH($C201,Estoque!$A$6:$A$45,0)),"⚠ Código não encontrado",IF(AND(OR($B201="Retorno de sobra",$B201="Saída de sobra"),$G201=""),"⚠ Escolha a medida da sobra",IF(AND(OR($B201="Entrada",$B201="Saída"),$H201=""),"⚠ Informe a quantidade","OK"))))</f>
        <v/>
      </c>
    </row>
    <row r="202" customFormat="false" ht="15" hidden="false" customHeight="false" outlineLevel="0" collapsed="false">
      <c r="A202" s="22"/>
      <c r="B202" s="18"/>
      <c r="C202" s="18"/>
      <c r="D202" s="19" t="str">
        <f aca="false">IF($C202="","",IFERROR(INDEX(Estoque!$C$6:$C$45,MATCH($C202,Estoque!$A$6:$A$45,0)),"Código não encontrado"))</f>
        <v/>
      </c>
      <c r="E202" s="19" t="str">
        <f aca="false">IF($C202="","",IFERROR(INDEX(Estoque!$B$6:$B$45,MATCH($C202,Estoque!$A$6:$A$45,0)),"Código não encontrado"))</f>
        <v/>
      </c>
      <c r="F202" s="18"/>
      <c r="G202" s="18"/>
      <c r="H202" s="18"/>
      <c r="I202" s="20" t="str">
        <f aca="false">IF(OR($B202="",$C202=""),"",IF(OR($B202="Retorno de sobra",$B202="Saída de sobra"),IFERROR(VLOOKUP($G202,Listas!$A$2:$B$5,2,FALSE()),0)*IF($H202="",1,$H202),$H202))</f>
        <v/>
      </c>
      <c r="J202" s="21" t="str">
        <f aca="false">IF($C202="","",IF(ISNA(MATCH($C202,Estoque!$A$6:$A$45,0)),"⚠ Código não encontrado",IF(AND(OR($B202="Retorno de sobra",$B202="Saída de sobra"),$G202=""),"⚠ Escolha a medida da sobra",IF(AND(OR($B202="Entrada",$B202="Saída"),$H202=""),"⚠ Informe a quantidade","OK"))))</f>
        <v/>
      </c>
    </row>
    <row r="203" customFormat="false" ht="15" hidden="false" customHeight="false" outlineLevel="0" collapsed="false">
      <c r="A203" s="22"/>
      <c r="B203" s="18"/>
      <c r="C203" s="18"/>
      <c r="D203" s="19" t="str">
        <f aca="false">IF($C203="","",IFERROR(INDEX(Estoque!$C$6:$C$45,MATCH($C203,Estoque!$A$6:$A$45,0)),"Código não encontrado"))</f>
        <v/>
      </c>
      <c r="E203" s="19" t="str">
        <f aca="false">IF($C203="","",IFERROR(INDEX(Estoque!$B$6:$B$45,MATCH($C203,Estoque!$A$6:$A$45,0)),"Código não encontrado"))</f>
        <v/>
      </c>
      <c r="F203" s="18"/>
      <c r="G203" s="18"/>
      <c r="H203" s="18"/>
      <c r="I203" s="20" t="str">
        <f aca="false">IF(OR($B203="",$C203=""),"",IF(OR($B203="Retorno de sobra",$B203="Saída de sobra"),IFERROR(VLOOKUP($G203,Listas!$A$2:$B$5,2,FALSE()),0)*IF($H203="",1,$H203),$H203))</f>
        <v/>
      </c>
      <c r="J203" s="21" t="str">
        <f aca="false">IF($C203="","",IF(ISNA(MATCH($C203,Estoque!$A$6:$A$45,0)),"⚠ Código não encontrado",IF(AND(OR($B203="Retorno de sobra",$B203="Saída de sobra"),$G203=""),"⚠ Escolha a medida da sobra",IF(AND(OR($B203="Entrada",$B203="Saída"),$H203=""),"⚠ Informe a quantidade","OK"))))</f>
        <v/>
      </c>
    </row>
    <row r="204" customFormat="false" ht="15" hidden="false" customHeight="false" outlineLevel="0" collapsed="false">
      <c r="A204" s="22"/>
      <c r="B204" s="18"/>
      <c r="C204" s="18"/>
      <c r="D204" s="19" t="str">
        <f aca="false">IF($C204="","",IFERROR(INDEX(Estoque!$C$6:$C$45,MATCH($C204,Estoque!$A$6:$A$45,0)),"Código não encontrado"))</f>
        <v/>
      </c>
      <c r="E204" s="19" t="str">
        <f aca="false">IF($C204="","",IFERROR(INDEX(Estoque!$B$6:$B$45,MATCH($C204,Estoque!$A$6:$A$45,0)),"Código não encontrado"))</f>
        <v/>
      </c>
      <c r="F204" s="18"/>
      <c r="G204" s="18"/>
      <c r="H204" s="18"/>
      <c r="I204" s="20" t="str">
        <f aca="false">IF(OR($B204="",$C204=""),"",IF(OR($B204="Retorno de sobra",$B204="Saída de sobra"),IFERROR(VLOOKUP($G204,Listas!$A$2:$B$5,2,FALSE()),0)*IF($H204="",1,$H204),$H204))</f>
        <v/>
      </c>
      <c r="J204" s="21" t="str">
        <f aca="false">IF($C204="","",IF(ISNA(MATCH($C204,Estoque!$A$6:$A$45,0)),"⚠ Código não encontrado",IF(AND(OR($B204="Retorno de sobra",$B204="Saída de sobra"),$G204=""),"⚠ Escolha a medida da sobra",IF(AND(OR($B204="Entrada",$B204="Saída"),$H204=""),"⚠ Informe a quantidade","OK"))))</f>
        <v/>
      </c>
    </row>
    <row r="205" customFormat="false" ht="15" hidden="false" customHeight="false" outlineLevel="0" collapsed="false">
      <c r="A205" s="22"/>
      <c r="B205" s="18"/>
      <c r="C205" s="18"/>
      <c r="D205" s="19" t="str">
        <f aca="false">IF($C205="","",IFERROR(INDEX(Estoque!$C$6:$C$45,MATCH($C205,Estoque!$A$6:$A$45,0)),"Código não encontrado"))</f>
        <v/>
      </c>
      <c r="E205" s="19" t="str">
        <f aca="false">IF($C205="","",IFERROR(INDEX(Estoque!$B$6:$B$45,MATCH($C205,Estoque!$A$6:$A$45,0)),"Código não encontrado"))</f>
        <v/>
      </c>
      <c r="F205" s="18"/>
      <c r="G205" s="18"/>
      <c r="H205" s="18"/>
      <c r="I205" s="20" t="str">
        <f aca="false">IF(OR($B205="",$C205=""),"",IF(OR($B205="Retorno de sobra",$B205="Saída de sobra"),IFERROR(VLOOKUP($G205,Listas!$A$2:$B$5,2,FALSE()),0)*IF($H205="",1,$H205),$H205))</f>
        <v/>
      </c>
      <c r="J205" s="21" t="str">
        <f aca="false">IF($C205="","",IF(ISNA(MATCH($C205,Estoque!$A$6:$A$45,0)),"⚠ Código não encontrado",IF(AND(OR($B205="Retorno de sobra",$B205="Saída de sobra"),$G205=""),"⚠ Escolha a medida da sobra",IF(AND(OR($B205="Entrada",$B205="Saída"),$H205=""),"⚠ Informe a quantidade","OK"))))</f>
        <v/>
      </c>
    </row>
    <row r="206" customFormat="false" ht="15" hidden="false" customHeight="false" outlineLevel="0" collapsed="false">
      <c r="A206" s="22"/>
      <c r="B206" s="18"/>
      <c r="C206" s="18"/>
      <c r="D206" s="19" t="str">
        <f aca="false">IF($C206="","",IFERROR(INDEX(Estoque!$C$6:$C$45,MATCH($C206,Estoque!$A$6:$A$45,0)),"Código não encontrado"))</f>
        <v/>
      </c>
      <c r="E206" s="19" t="str">
        <f aca="false">IF($C206="","",IFERROR(INDEX(Estoque!$B$6:$B$45,MATCH($C206,Estoque!$A$6:$A$45,0)),"Código não encontrado"))</f>
        <v/>
      </c>
      <c r="F206" s="18"/>
      <c r="G206" s="18"/>
      <c r="H206" s="18"/>
      <c r="I206" s="20" t="str">
        <f aca="false">IF(OR($B206="",$C206=""),"",IF(OR($B206="Retorno de sobra",$B206="Saída de sobra"),IFERROR(VLOOKUP($G206,Listas!$A$2:$B$5,2,FALSE()),0)*IF($H206="",1,$H206),$H206))</f>
        <v/>
      </c>
      <c r="J206" s="21" t="str">
        <f aca="false">IF($C206="","",IF(ISNA(MATCH($C206,Estoque!$A$6:$A$45,0)),"⚠ Código não encontrado",IF(AND(OR($B206="Retorno de sobra",$B206="Saída de sobra"),$G206=""),"⚠ Escolha a medida da sobra",IF(AND(OR($B206="Entrada",$B206="Saída"),$H206=""),"⚠ Informe a quantidade","OK"))))</f>
        <v/>
      </c>
    </row>
    <row r="207" customFormat="false" ht="15" hidden="false" customHeight="false" outlineLevel="0" collapsed="false">
      <c r="A207" s="22"/>
      <c r="B207" s="18"/>
      <c r="C207" s="18"/>
      <c r="D207" s="19" t="str">
        <f aca="false">IF($C207="","",IFERROR(INDEX(Estoque!$C$6:$C$45,MATCH($C207,Estoque!$A$6:$A$45,0)),"Código não encontrado"))</f>
        <v/>
      </c>
      <c r="E207" s="19" t="str">
        <f aca="false">IF($C207="","",IFERROR(INDEX(Estoque!$B$6:$B$45,MATCH($C207,Estoque!$A$6:$A$45,0)),"Código não encontrado"))</f>
        <v/>
      </c>
      <c r="F207" s="18"/>
      <c r="G207" s="18"/>
      <c r="H207" s="18"/>
      <c r="I207" s="20" t="str">
        <f aca="false">IF(OR($B207="",$C207=""),"",IF(OR($B207="Retorno de sobra",$B207="Saída de sobra"),IFERROR(VLOOKUP($G207,Listas!$A$2:$B$5,2,FALSE()),0)*IF($H207="",1,$H207),$H207))</f>
        <v/>
      </c>
      <c r="J207" s="21" t="str">
        <f aca="false">IF($C207="","",IF(ISNA(MATCH($C207,Estoque!$A$6:$A$45,0)),"⚠ Código não encontrado",IF(AND(OR($B207="Retorno de sobra",$B207="Saída de sobra"),$G207=""),"⚠ Escolha a medida da sobra",IF(AND(OR($B207="Entrada",$B207="Saída"),$H207=""),"⚠ Informe a quantidade","OK"))))</f>
        <v/>
      </c>
    </row>
    <row r="208" customFormat="false" ht="15" hidden="false" customHeight="false" outlineLevel="0" collapsed="false">
      <c r="A208" s="22"/>
      <c r="B208" s="18"/>
      <c r="C208" s="18"/>
      <c r="D208" s="19" t="str">
        <f aca="false">IF($C208="","",IFERROR(INDEX(Estoque!$C$6:$C$45,MATCH($C208,Estoque!$A$6:$A$45,0)),"Código não encontrado"))</f>
        <v/>
      </c>
      <c r="E208" s="19" t="str">
        <f aca="false">IF($C208="","",IFERROR(INDEX(Estoque!$B$6:$B$45,MATCH($C208,Estoque!$A$6:$A$45,0)),"Código não encontrado"))</f>
        <v/>
      </c>
      <c r="F208" s="18"/>
      <c r="G208" s="18"/>
      <c r="H208" s="18"/>
      <c r="I208" s="20" t="str">
        <f aca="false">IF(OR($B208="",$C208=""),"",IF(OR($B208="Retorno de sobra",$B208="Saída de sobra"),IFERROR(VLOOKUP($G208,Listas!$A$2:$B$5,2,FALSE()),0)*IF($H208="",1,$H208),$H208))</f>
        <v/>
      </c>
      <c r="J208" s="21" t="str">
        <f aca="false">IF($C208="","",IF(ISNA(MATCH($C208,Estoque!$A$6:$A$45,0)),"⚠ Código não encontrado",IF(AND(OR($B208="Retorno de sobra",$B208="Saída de sobra"),$G208=""),"⚠ Escolha a medida da sobra",IF(AND(OR($B208="Entrada",$B208="Saída"),$H208=""),"⚠ Informe a quantidade","OK"))))</f>
        <v/>
      </c>
    </row>
    <row r="209" customFormat="false" ht="15" hidden="false" customHeight="false" outlineLevel="0" collapsed="false">
      <c r="A209" s="22"/>
      <c r="B209" s="18"/>
      <c r="C209" s="18"/>
      <c r="D209" s="19" t="str">
        <f aca="false">IF($C209="","",IFERROR(INDEX(Estoque!$C$6:$C$45,MATCH($C209,Estoque!$A$6:$A$45,0)),"Código não encontrado"))</f>
        <v/>
      </c>
      <c r="E209" s="19" t="str">
        <f aca="false">IF($C209="","",IFERROR(INDEX(Estoque!$B$6:$B$45,MATCH($C209,Estoque!$A$6:$A$45,0)),"Código não encontrado"))</f>
        <v/>
      </c>
      <c r="F209" s="18"/>
      <c r="G209" s="18"/>
      <c r="H209" s="18"/>
      <c r="I209" s="20" t="str">
        <f aca="false">IF(OR($B209="",$C209=""),"",IF(OR($B209="Retorno de sobra",$B209="Saída de sobra"),IFERROR(VLOOKUP($G209,Listas!$A$2:$B$5,2,FALSE()),0)*IF($H209="",1,$H209),$H209))</f>
        <v/>
      </c>
      <c r="J209" s="21" t="str">
        <f aca="false">IF($C209="","",IF(ISNA(MATCH($C209,Estoque!$A$6:$A$45,0)),"⚠ Código não encontrado",IF(AND(OR($B209="Retorno de sobra",$B209="Saída de sobra"),$G209=""),"⚠ Escolha a medida da sobra",IF(AND(OR($B209="Entrada",$B209="Saída"),$H209=""),"⚠ Informe a quantidade","OK"))))</f>
        <v/>
      </c>
    </row>
    <row r="210" customFormat="false" ht="15" hidden="false" customHeight="false" outlineLevel="0" collapsed="false">
      <c r="A210" s="22"/>
      <c r="B210" s="18"/>
      <c r="C210" s="18"/>
      <c r="D210" s="19" t="str">
        <f aca="false">IF($C210="","",IFERROR(INDEX(Estoque!$C$6:$C$45,MATCH($C210,Estoque!$A$6:$A$45,0)),"Código não encontrado"))</f>
        <v/>
      </c>
      <c r="E210" s="19" t="str">
        <f aca="false">IF($C210="","",IFERROR(INDEX(Estoque!$B$6:$B$45,MATCH($C210,Estoque!$A$6:$A$45,0)),"Código não encontrado"))</f>
        <v/>
      </c>
      <c r="F210" s="18"/>
      <c r="G210" s="18"/>
      <c r="H210" s="18"/>
      <c r="I210" s="20" t="str">
        <f aca="false">IF(OR($B210="",$C210=""),"",IF(OR($B210="Retorno de sobra",$B210="Saída de sobra"),IFERROR(VLOOKUP($G210,Listas!$A$2:$B$5,2,FALSE()),0)*IF($H210="",1,$H210),$H210))</f>
        <v/>
      </c>
      <c r="J210" s="21" t="str">
        <f aca="false">IF($C210="","",IF(ISNA(MATCH($C210,Estoque!$A$6:$A$45,0)),"⚠ Código não encontrado",IF(AND(OR($B210="Retorno de sobra",$B210="Saída de sobra"),$G210=""),"⚠ Escolha a medida da sobra",IF(AND(OR($B210="Entrada",$B210="Saída"),$H210=""),"⚠ Informe a quantidade","OK"))))</f>
        <v/>
      </c>
    </row>
    <row r="211" customFormat="false" ht="15" hidden="false" customHeight="false" outlineLevel="0" collapsed="false">
      <c r="A211" s="22"/>
      <c r="B211" s="18"/>
      <c r="C211" s="18"/>
      <c r="D211" s="19" t="str">
        <f aca="false">IF($C211="","",IFERROR(INDEX(Estoque!$C$6:$C$45,MATCH($C211,Estoque!$A$6:$A$45,0)),"Código não encontrado"))</f>
        <v/>
      </c>
      <c r="E211" s="19" t="str">
        <f aca="false">IF($C211="","",IFERROR(INDEX(Estoque!$B$6:$B$45,MATCH($C211,Estoque!$A$6:$A$45,0)),"Código não encontrado"))</f>
        <v/>
      </c>
      <c r="F211" s="18"/>
      <c r="G211" s="18"/>
      <c r="H211" s="18"/>
      <c r="I211" s="20" t="str">
        <f aca="false">IF(OR($B211="",$C211=""),"",IF(OR($B211="Retorno de sobra",$B211="Saída de sobra"),IFERROR(VLOOKUP($G211,Listas!$A$2:$B$5,2,FALSE()),0)*IF($H211="",1,$H211),$H211))</f>
        <v/>
      </c>
      <c r="J211" s="21" t="str">
        <f aca="false">IF($C211="","",IF(ISNA(MATCH($C211,Estoque!$A$6:$A$45,0)),"⚠ Código não encontrado",IF(AND(OR($B211="Retorno de sobra",$B211="Saída de sobra"),$G211=""),"⚠ Escolha a medida da sobra",IF(AND(OR($B211="Entrada",$B211="Saída"),$H211=""),"⚠ Informe a quantidade","OK"))))</f>
        <v/>
      </c>
    </row>
    <row r="212" customFormat="false" ht="15" hidden="false" customHeight="false" outlineLevel="0" collapsed="false">
      <c r="A212" s="22"/>
      <c r="B212" s="18"/>
      <c r="C212" s="18"/>
      <c r="D212" s="19" t="str">
        <f aca="false">IF($C212="","",IFERROR(INDEX(Estoque!$C$6:$C$45,MATCH($C212,Estoque!$A$6:$A$45,0)),"Código não encontrado"))</f>
        <v/>
      </c>
      <c r="E212" s="19" t="str">
        <f aca="false">IF($C212="","",IFERROR(INDEX(Estoque!$B$6:$B$45,MATCH($C212,Estoque!$A$6:$A$45,0)),"Código não encontrado"))</f>
        <v/>
      </c>
      <c r="F212" s="18"/>
      <c r="G212" s="18"/>
      <c r="H212" s="18"/>
      <c r="I212" s="20" t="str">
        <f aca="false">IF(OR($B212="",$C212=""),"",IF(OR($B212="Retorno de sobra",$B212="Saída de sobra"),IFERROR(VLOOKUP($G212,Listas!$A$2:$B$5,2,FALSE()),0)*IF($H212="",1,$H212),$H212))</f>
        <v/>
      </c>
      <c r="J212" s="21" t="str">
        <f aca="false">IF($C212="","",IF(ISNA(MATCH($C212,Estoque!$A$6:$A$45,0)),"⚠ Código não encontrado",IF(AND(OR($B212="Retorno de sobra",$B212="Saída de sobra"),$G212=""),"⚠ Escolha a medida da sobra",IF(AND(OR($B212="Entrada",$B212="Saída"),$H212=""),"⚠ Informe a quantidade","OK"))))</f>
        <v/>
      </c>
    </row>
    <row r="213" customFormat="false" ht="15" hidden="false" customHeight="false" outlineLevel="0" collapsed="false">
      <c r="A213" s="22"/>
      <c r="B213" s="18"/>
      <c r="C213" s="18"/>
      <c r="D213" s="19" t="str">
        <f aca="false">IF($C213="","",IFERROR(INDEX(Estoque!$C$6:$C$45,MATCH($C213,Estoque!$A$6:$A$45,0)),"Código não encontrado"))</f>
        <v/>
      </c>
      <c r="E213" s="19" t="str">
        <f aca="false">IF($C213="","",IFERROR(INDEX(Estoque!$B$6:$B$45,MATCH($C213,Estoque!$A$6:$A$45,0)),"Código não encontrado"))</f>
        <v/>
      </c>
      <c r="F213" s="18"/>
      <c r="G213" s="18"/>
      <c r="H213" s="18"/>
      <c r="I213" s="20" t="str">
        <f aca="false">IF(OR($B213="",$C213=""),"",IF(OR($B213="Retorno de sobra",$B213="Saída de sobra"),IFERROR(VLOOKUP($G213,Listas!$A$2:$B$5,2,FALSE()),0)*IF($H213="",1,$H213),$H213))</f>
        <v/>
      </c>
      <c r="J213" s="21" t="str">
        <f aca="false">IF($C213="","",IF(ISNA(MATCH($C213,Estoque!$A$6:$A$45,0)),"⚠ Código não encontrado",IF(AND(OR($B213="Retorno de sobra",$B213="Saída de sobra"),$G213=""),"⚠ Escolha a medida da sobra",IF(AND(OR($B213="Entrada",$B213="Saída"),$H213=""),"⚠ Informe a quantidade","OK"))))</f>
        <v/>
      </c>
    </row>
    <row r="214" customFormat="false" ht="15" hidden="false" customHeight="false" outlineLevel="0" collapsed="false">
      <c r="A214" s="22"/>
      <c r="B214" s="18"/>
      <c r="C214" s="18"/>
      <c r="D214" s="19" t="str">
        <f aca="false">IF($C214="","",IFERROR(INDEX(Estoque!$C$6:$C$45,MATCH($C214,Estoque!$A$6:$A$45,0)),"Código não encontrado"))</f>
        <v/>
      </c>
      <c r="E214" s="19" t="str">
        <f aca="false">IF($C214="","",IFERROR(INDEX(Estoque!$B$6:$B$45,MATCH($C214,Estoque!$A$6:$A$45,0)),"Código não encontrado"))</f>
        <v/>
      </c>
      <c r="F214" s="18"/>
      <c r="G214" s="18"/>
      <c r="H214" s="18"/>
      <c r="I214" s="20" t="str">
        <f aca="false">IF(OR($B214="",$C214=""),"",IF(OR($B214="Retorno de sobra",$B214="Saída de sobra"),IFERROR(VLOOKUP($G214,Listas!$A$2:$B$5,2,FALSE()),0)*IF($H214="",1,$H214),$H214))</f>
        <v/>
      </c>
      <c r="J214" s="21" t="str">
        <f aca="false">IF($C214="","",IF(ISNA(MATCH($C214,Estoque!$A$6:$A$45,0)),"⚠ Código não encontrado",IF(AND(OR($B214="Retorno de sobra",$B214="Saída de sobra"),$G214=""),"⚠ Escolha a medida da sobra",IF(AND(OR($B214="Entrada",$B214="Saída"),$H214=""),"⚠ Informe a quantidade","OK"))))</f>
        <v/>
      </c>
    </row>
    <row r="215" customFormat="false" ht="15" hidden="false" customHeight="false" outlineLevel="0" collapsed="false">
      <c r="A215" s="22"/>
      <c r="B215" s="18"/>
      <c r="C215" s="18"/>
      <c r="D215" s="19" t="str">
        <f aca="false">IF($C215="","",IFERROR(INDEX(Estoque!$C$6:$C$45,MATCH($C215,Estoque!$A$6:$A$45,0)),"Código não encontrado"))</f>
        <v/>
      </c>
      <c r="E215" s="19" t="str">
        <f aca="false">IF($C215="","",IFERROR(INDEX(Estoque!$B$6:$B$45,MATCH($C215,Estoque!$A$6:$A$45,0)),"Código não encontrado"))</f>
        <v/>
      </c>
      <c r="F215" s="18"/>
      <c r="G215" s="18"/>
      <c r="H215" s="18"/>
      <c r="I215" s="20" t="str">
        <f aca="false">IF(OR($B215="",$C215=""),"",IF(OR($B215="Retorno de sobra",$B215="Saída de sobra"),IFERROR(VLOOKUP($G215,Listas!$A$2:$B$5,2,FALSE()),0)*IF($H215="",1,$H215),$H215))</f>
        <v/>
      </c>
      <c r="J215" s="21" t="str">
        <f aca="false">IF($C215="","",IF(ISNA(MATCH($C215,Estoque!$A$6:$A$45,0)),"⚠ Código não encontrado",IF(AND(OR($B215="Retorno de sobra",$B215="Saída de sobra"),$G215=""),"⚠ Escolha a medida da sobra",IF(AND(OR($B215="Entrada",$B215="Saída"),$H215=""),"⚠ Informe a quantidade","OK"))))</f>
        <v/>
      </c>
    </row>
    <row r="216" customFormat="false" ht="15" hidden="false" customHeight="false" outlineLevel="0" collapsed="false">
      <c r="A216" s="22"/>
      <c r="B216" s="18"/>
      <c r="C216" s="18"/>
      <c r="D216" s="19" t="str">
        <f aca="false">IF($C216="","",IFERROR(INDEX(Estoque!$C$6:$C$45,MATCH($C216,Estoque!$A$6:$A$45,0)),"Código não encontrado"))</f>
        <v/>
      </c>
      <c r="E216" s="19" t="str">
        <f aca="false">IF($C216="","",IFERROR(INDEX(Estoque!$B$6:$B$45,MATCH($C216,Estoque!$A$6:$A$45,0)),"Código não encontrado"))</f>
        <v/>
      </c>
      <c r="F216" s="18"/>
      <c r="G216" s="18"/>
      <c r="H216" s="18"/>
      <c r="I216" s="20" t="str">
        <f aca="false">IF(OR($B216="",$C216=""),"",IF(OR($B216="Retorno de sobra",$B216="Saída de sobra"),IFERROR(VLOOKUP($G216,Listas!$A$2:$B$5,2,FALSE()),0)*IF($H216="",1,$H216),$H216))</f>
        <v/>
      </c>
      <c r="J216" s="21" t="str">
        <f aca="false">IF($C216="","",IF(ISNA(MATCH($C216,Estoque!$A$6:$A$45,0)),"⚠ Código não encontrado",IF(AND(OR($B216="Retorno de sobra",$B216="Saída de sobra"),$G216=""),"⚠ Escolha a medida da sobra",IF(AND(OR($B216="Entrada",$B216="Saída"),$H216=""),"⚠ Informe a quantidade","OK"))))</f>
        <v/>
      </c>
    </row>
    <row r="217" customFormat="false" ht="15" hidden="false" customHeight="false" outlineLevel="0" collapsed="false">
      <c r="A217" s="22"/>
      <c r="B217" s="18"/>
      <c r="C217" s="18"/>
      <c r="D217" s="19" t="str">
        <f aca="false">IF($C217="","",IFERROR(INDEX(Estoque!$C$6:$C$45,MATCH($C217,Estoque!$A$6:$A$45,0)),"Código não encontrado"))</f>
        <v/>
      </c>
      <c r="E217" s="19" t="str">
        <f aca="false">IF($C217="","",IFERROR(INDEX(Estoque!$B$6:$B$45,MATCH($C217,Estoque!$A$6:$A$45,0)),"Código não encontrado"))</f>
        <v/>
      </c>
      <c r="F217" s="18"/>
      <c r="G217" s="18"/>
      <c r="H217" s="18"/>
      <c r="I217" s="20" t="str">
        <f aca="false">IF(OR($B217="",$C217=""),"",IF(OR($B217="Retorno de sobra",$B217="Saída de sobra"),IFERROR(VLOOKUP($G217,Listas!$A$2:$B$5,2,FALSE()),0)*IF($H217="",1,$H217),$H217))</f>
        <v/>
      </c>
      <c r="J217" s="21" t="str">
        <f aca="false">IF($C217="","",IF(ISNA(MATCH($C217,Estoque!$A$6:$A$45,0)),"⚠ Código não encontrado",IF(AND(OR($B217="Retorno de sobra",$B217="Saída de sobra"),$G217=""),"⚠ Escolha a medida da sobra",IF(AND(OR($B217="Entrada",$B217="Saída"),$H217=""),"⚠ Informe a quantidade","OK"))))</f>
        <v/>
      </c>
    </row>
    <row r="218" customFormat="false" ht="15" hidden="false" customHeight="false" outlineLevel="0" collapsed="false">
      <c r="A218" s="22"/>
      <c r="B218" s="18"/>
      <c r="C218" s="18"/>
      <c r="D218" s="19" t="str">
        <f aca="false">IF($C218="","",IFERROR(INDEX(Estoque!$C$6:$C$45,MATCH($C218,Estoque!$A$6:$A$45,0)),"Código não encontrado"))</f>
        <v/>
      </c>
      <c r="E218" s="19" t="str">
        <f aca="false">IF($C218="","",IFERROR(INDEX(Estoque!$B$6:$B$45,MATCH($C218,Estoque!$A$6:$A$45,0)),"Código não encontrado"))</f>
        <v/>
      </c>
      <c r="F218" s="18"/>
      <c r="G218" s="18"/>
      <c r="H218" s="18"/>
      <c r="I218" s="20" t="str">
        <f aca="false">IF(OR($B218="",$C218=""),"",IF(OR($B218="Retorno de sobra",$B218="Saída de sobra"),IFERROR(VLOOKUP($G218,Listas!$A$2:$B$5,2,FALSE()),0)*IF($H218="",1,$H218),$H218))</f>
        <v/>
      </c>
      <c r="J218" s="21" t="str">
        <f aca="false">IF($C218="","",IF(ISNA(MATCH($C218,Estoque!$A$6:$A$45,0)),"⚠ Código não encontrado",IF(AND(OR($B218="Retorno de sobra",$B218="Saída de sobra"),$G218=""),"⚠ Escolha a medida da sobra",IF(AND(OR($B218="Entrada",$B218="Saída"),$H218=""),"⚠ Informe a quantidade","OK"))))</f>
        <v/>
      </c>
    </row>
    <row r="219" customFormat="false" ht="15" hidden="false" customHeight="false" outlineLevel="0" collapsed="false">
      <c r="A219" s="22"/>
      <c r="B219" s="18"/>
      <c r="C219" s="18"/>
      <c r="D219" s="19" t="str">
        <f aca="false">IF($C219="","",IFERROR(INDEX(Estoque!$C$6:$C$45,MATCH($C219,Estoque!$A$6:$A$45,0)),"Código não encontrado"))</f>
        <v/>
      </c>
      <c r="E219" s="19" t="str">
        <f aca="false">IF($C219="","",IFERROR(INDEX(Estoque!$B$6:$B$45,MATCH($C219,Estoque!$A$6:$A$45,0)),"Código não encontrado"))</f>
        <v/>
      </c>
      <c r="F219" s="18"/>
      <c r="G219" s="18"/>
      <c r="H219" s="18"/>
      <c r="I219" s="20" t="str">
        <f aca="false">IF(OR($B219="",$C219=""),"",IF(OR($B219="Retorno de sobra",$B219="Saída de sobra"),IFERROR(VLOOKUP($G219,Listas!$A$2:$B$5,2,FALSE()),0)*IF($H219="",1,$H219),$H219))</f>
        <v/>
      </c>
      <c r="J219" s="21" t="str">
        <f aca="false">IF($C219="","",IF(ISNA(MATCH($C219,Estoque!$A$6:$A$45,0)),"⚠ Código não encontrado",IF(AND(OR($B219="Retorno de sobra",$B219="Saída de sobra"),$G219=""),"⚠ Escolha a medida da sobra",IF(AND(OR($B219="Entrada",$B219="Saída"),$H219=""),"⚠ Informe a quantidade","OK"))))</f>
        <v/>
      </c>
    </row>
    <row r="220" customFormat="false" ht="15" hidden="false" customHeight="false" outlineLevel="0" collapsed="false">
      <c r="A220" s="22"/>
      <c r="B220" s="18"/>
      <c r="C220" s="18"/>
      <c r="D220" s="19" t="str">
        <f aca="false">IF($C220="","",IFERROR(INDEX(Estoque!$C$6:$C$45,MATCH($C220,Estoque!$A$6:$A$45,0)),"Código não encontrado"))</f>
        <v/>
      </c>
      <c r="E220" s="19" t="str">
        <f aca="false">IF($C220="","",IFERROR(INDEX(Estoque!$B$6:$B$45,MATCH($C220,Estoque!$A$6:$A$45,0)),"Código não encontrado"))</f>
        <v/>
      </c>
      <c r="F220" s="18"/>
      <c r="G220" s="18"/>
      <c r="H220" s="18"/>
      <c r="I220" s="20" t="str">
        <f aca="false">IF(OR($B220="",$C220=""),"",IF(OR($B220="Retorno de sobra",$B220="Saída de sobra"),IFERROR(VLOOKUP($G220,Listas!$A$2:$B$5,2,FALSE()),0)*IF($H220="",1,$H220),$H220))</f>
        <v/>
      </c>
      <c r="J220" s="21" t="str">
        <f aca="false">IF($C220="","",IF(ISNA(MATCH($C220,Estoque!$A$6:$A$45,0)),"⚠ Código não encontrado",IF(AND(OR($B220="Retorno de sobra",$B220="Saída de sobra"),$G220=""),"⚠ Escolha a medida da sobra",IF(AND(OR($B220="Entrada",$B220="Saída"),$H220=""),"⚠ Informe a quantidade","OK"))))</f>
        <v/>
      </c>
    </row>
    <row r="221" customFormat="false" ht="15" hidden="false" customHeight="false" outlineLevel="0" collapsed="false">
      <c r="A221" s="22"/>
      <c r="B221" s="18"/>
      <c r="C221" s="18"/>
      <c r="D221" s="19" t="str">
        <f aca="false">IF($C221="","",IFERROR(INDEX(Estoque!$C$6:$C$45,MATCH($C221,Estoque!$A$6:$A$45,0)),"Código não encontrado"))</f>
        <v/>
      </c>
      <c r="E221" s="19" t="str">
        <f aca="false">IF($C221="","",IFERROR(INDEX(Estoque!$B$6:$B$45,MATCH($C221,Estoque!$A$6:$A$45,0)),"Código não encontrado"))</f>
        <v/>
      </c>
      <c r="F221" s="18"/>
      <c r="G221" s="18"/>
      <c r="H221" s="18"/>
      <c r="I221" s="20" t="str">
        <f aca="false">IF(OR($B221="",$C221=""),"",IF(OR($B221="Retorno de sobra",$B221="Saída de sobra"),IFERROR(VLOOKUP($G221,Listas!$A$2:$B$5,2,FALSE()),0)*IF($H221="",1,$H221),$H221))</f>
        <v/>
      </c>
      <c r="J221" s="21" t="str">
        <f aca="false">IF($C221="","",IF(ISNA(MATCH($C221,Estoque!$A$6:$A$45,0)),"⚠ Código não encontrado",IF(AND(OR($B221="Retorno de sobra",$B221="Saída de sobra"),$G221=""),"⚠ Escolha a medida da sobra",IF(AND(OR($B221="Entrada",$B221="Saída"),$H221=""),"⚠ Informe a quantidade","OK"))))</f>
        <v/>
      </c>
    </row>
    <row r="222" customFormat="false" ht="15" hidden="false" customHeight="false" outlineLevel="0" collapsed="false">
      <c r="A222" s="22"/>
      <c r="B222" s="18"/>
      <c r="C222" s="18"/>
      <c r="D222" s="19" t="str">
        <f aca="false">IF($C222="","",IFERROR(INDEX(Estoque!$C$6:$C$45,MATCH($C222,Estoque!$A$6:$A$45,0)),"Código não encontrado"))</f>
        <v/>
      </c>
      <c r="E222" s="19" t="str">
        <f aca="false">IF($C222="","",IFERROR(INDEX(Estoque!$B$6:$B$45,MATCH($C222,Estoque!$A$6:$A$45,0)),"Código não encontrado"))</f>
        <v/>
      </c>
      <c r="F222" s="18"/>
      <c r="G222" s="18"/>
      <c r="H222" s="18"/>
      <c r="I222" s="20" t="str">
        <f aca="false">IF(OR($B222="",$C222=""),"",IF(OR($B222="Retorno de sobra",$B222="Saída de sobra"),IFERROR(VLOOKUP($G222,Listas!$A$2:$B$5,2,FALSE()),0)*IF($H222="",1,$H222),$H222))</f>
        <v/>
      </c>
      <c r="J222" s="21" t="str">
        <f aca="false">IF($C222="","",IF(ISNA(MATCH($C222,Estoque!$A$6:$A$45,0)),"⚠ Código não encontrado",IF(AND(OR($B222="Retorno de sobra",$B222="Saída de sobra"),$G222=""),"⚠ Escolha a medida da sobra",IF(AND(OR($B222="Entrada",$B222="Saída"),$H222=""),"⚠ Informe a quantidade","OK"))))</f>
        <v/>
      </c>
    </row>
    <row r="223" customFormat="false" ht="15" hidden="false" customHeight="false" outlineLevel="0" collapsed="false">
      <c r="A223" s="22"/>
      <c r="B223" s="18"/>
      <c r="C223" s="18"/>
      <c r="D223" s="19" t="str">
        <f aca="false">IF($C223="","",IFERROR(INDEX(Estoque!$C$6:$C$45,MATCH($C223,Estoque!$A$6:$A$45,0)),"Código não encontrado"))</f>
        <v/>
      </c>
      <c r="E223" s="19" t="str">
        <f aca="false">IF($C223="","",IFERROR(INDEX(Estoque!$B$6:$B$45,MATCH($C223,Estoque!$A$6:$A$45,0)),"Código não encontrado"))</f>
        <v/>
      </c>
      <c r="F223" s="18"/>
      <c r="G223" s="18"/>
      <c r="H223" s="18"/>
      <c r="I223" s="20" t="str">
        <f aca="false">IF(OR($B223="",$C223=""),"",IF(OR($B223="Retorno de sobra",$B223="Saída de sobra"),IFERROR(VLOOKUP($G223,Listas!$A$2:$B$5,2,FALSE()),0)*IF($H223="",1,$H223),$H223))</f>
        <v/>
      </c>
      <c r="J223" s="21" t="str">
        <f aca="false">IF($C223="","",IF(ISNA(MATCH($C223,Estoque!$A$6:$A$45,0)),"⚠ Código não encontrado",IF(AND(OR($B223="Retorno de sobra",$B223="Saída de sobra"),$G223=""),"⚠ Escolha a medida da sobra",IF(AND(OR($B223="Entrada",$B223="Saída"),$H223=""),"⚠ Informe a quantidade","OK"))))</f>
        <v/>
      </c>
    </row>
    <row r="224" customFormat="false" ht="15" hidden="false" customHeight="false" outlineLevel="0" collapsed="false">
      <c r="A224" s="22"/>
      <c r="B224" s="18"/>
      <c r="C224" s="18"/>
      <c r="D224" s="19" t="str">
        <f aca="false">IF($C224="","",IFERROR(INDEX(Estoque!$C$6:$C$45,MATCH($C224,Estoque!$A$6:$A$45,0)),"Código não encontrado"))</f>
        <v/>
      </c>
      <c r="E224" s="19" t="str">
        <f aca="false">IF($C224="","",IFERROR(INDEX(Estoque!$B$6:$B$45,MATCH($C224,Estoque!$A$6:$A$45,0)),"Código não encontrado"))</f>
        <v/>
      </c>
      <c r="F224" s="18"/>
      <c r="G224" s="18"/>
      <c r="H224" s="18"/>
      <c r="I224" s="20" t="str">
        <f aca="false">IF(OR($B224="",$C224=""),"",IF(OR($B224="Retorno de sobra",$B224="Saída de sobra"),IFERROR(VLOOKUP($G224,Listas!$A$2:$B$5,2,FALSE()),0)*IF($H224="",1,$H224),$H224))</f>
        <v/>
      </c>
      <c r="J224" s="21" t="str">
        <f aca="false">IF($C224="","",IF(ISNA(MATCH($C224,Estoque!$A$6:$A$45,0)),"⚠ Código não encontrado",IF(AND(OR($B224="Retorno de sobra",$B224="Saída de sobra"),$G224=""),"⚠ Escolha a medida da sobra",IF(AND(OR($B224="Entrada",$B224="Saída"),$H224=""),"⚠ Informe a quantidade","OK"))))</f>
        <v/>
      </c>
    </row>
    <row r="225" customFormat="false" ht="15" hidden="false" customHeight="false" outlineLevel="0" collapsed="false">
      <c r="A225" s="22"/>
      <c r="B225" s="18"/>
      <c r="C225" s="18"/>
      <c r="D225" s="19" t="str">
        <f aca="false">IF($C225="","",IFERROR(INDEX(Estoque!$C$6:$C$45,MATCH($C225,Estoque!$A$6:$A$45,0)),"Código não encontrado"))</f>
        <v/>
      </c>
      <c r="E225" s="19" t="str">
        <f aca="false">IF($C225="","",IFERROR(INDEX(Estoque!$B$6:$B$45,MATCH($C225,Estoque!$A$6:$A$45,0)),"Código não encontrado"))</f>
        <v/>
      </c>
      <c r="F225" s="18"/>
      <c r="G225" s="18"/>
      <c r="H225" s="18"/>
      <c r="I225" s="20" t="str">
        <f aca="false">IF(OR($B225="",$C225=""),"",IF(OR($B225="Retorno de sobra",$B225="Saída de sobra"),IFERROR(VLOOKUP($G225,Listas!$A$2:$B$5,2,FALSE()),0)*IF($H225="",1,$H225),$H225))</f>
        <v/>
      </c>
      <c r="J225" s="21" t="str">
        <f aca="false">IF($C225="","",IF(ISNA(MATCH($C225,Estoque!$A$6:$A$45,0)),"⚠ Código não encontrado",IF(AND(OR($B225="Retorno de sobra",$B225="Saída de sobra"),$G225=""),"⚠ Escolha a medida da sobra",IF(AND(OR($B225="Entrada",$B225="Saída"),$H225=""),"⚠ Informe a quantidade","OK"))))</f>
        <v/>
      </c>
    </row>
    <row r="226" customFormat="false" ht="15" hidden="false" customHeight="false" outlineLevel="0" collapsed="false">
      <c r="A226" s="22"/>
      <c r="B226" s="18"/>
      <c r="C226" s="18"/>
      <c r="D226" s="19" t="str">
        <f aca="false">IF($C226="","",IFERROR(INDEX(Estoque!$C$6:$C$45,MATCH($C226,Estoque!$A$6:$A$45,0)),"Código não encontrado"))</f>
        <v/>
      </c>
      <c r="E226" s="19" t="str">
        <f aca="false">IF($C226="","",IFERROR(INDEX(Estoque!$B$6:$B$45,MATCH($C226,Estoque!$A$6:$A$45,0)),"Código não encontrado"))</f>
        <v/>
      </c>
      <c r="F226" s="18"/>
      <c r="G226" s="18"/>
      <c r="H226" s="18"/>
      <c r="I226" s="20" t="str">
        <f aca="false">IF(OR($B226="",$C226=""),"",IF(OR($B226="Retorno de sobra",$B226="Saída de sobra"),IFERROR(VLOOKUP($G226,Listas!$A$2:$B$5,2,FALSE()),0)*IF($H226="",1,$H226),$H226))</f>
        <v/>
      </c>
      <c r="J226" s="21" t="str">
        <f aca="false">IF($C226="","",IF(ISNA(MATCH($C226,Estoque!$A$6:$A$45,0)),"⚠ Código não encontrado",IF(AND(OR($B226="Retorno de sobra",$B226="Saída de sobra"),$G226=""),"⚠ Escolha a medida da sobra",IF(AND(OR($B226="Entrada",$B226="Saída"),$H226=""),"⚠ Informe a quantidade","OK"))))</f>
        <v/>
      </c>
    </row>
    <row r="227" customFormat="false" ht="15" hidden="false" customHeight="false" outlineLevel="0" collapsed="false">
      <c r="A227" s="22"/>
      <c r="B227" s="18"/>
      <c r="C227" s="18"/>
      <c r="D227" s="19" t="str">
        <f aca="false">IF($C227="","",IFERROR(INDEX(Estoque!$C$6:$C$45,MATCH($C227,Estoque!$A$6:$A$45,0)),"Código não encontrado"))</f>
        <v/>
      </c>
      <c r="E227" s="19" t="str">
        <f aca="false">IF($C227="","",IFERROR(INDEX(Estoque!$B$6:$B$45,MATCH($C227,Estoque!$A$6:$A$45,0)),"Código não encontrado"))</f>
        <v/>
      </c>
      <c r="F227" s="18"/>
      <c r="G227" s="18"/>
      <c r="H227" s="18"/>
      <c r="I227" s="20" t="str">
        <f aca="false">IF(OR($B227="",$C227=""),"",IF(OR($B227="Retorno de sobra",$B227="Saída de sobra"),IFERROR(VLOOKUP($G227,Listas!$A$2:$B$5,2,FALSE()),0)*IF($H227="",1,$H227),$H227))</f>
        <v/>
      </c>
      <c r="J227" s="21" t="str">
        <f aca="false">IF($C227="","",IF(ISNA(MATCH($C227,Estoque!$A$6:$A$45,0)),"⚠ Código não encontrado",IF(AND(OR($B227="Retorno de sobra",$B227="Saída de sobra"),$G227=""),"⚠ Escolha a medida da sobra",IF(AND(OR($B227="Entrada",$B227="Saída"),$H227=""),"⚠ Informe a quantidade","OK"))))</f>
        <v/>
      </c>
    </row>
    <row r="228" customFormat="false" ht="15" hidden="false" customHeight="false" outlineLevel="0" collapsed="false">
      <c r="A228" s="22"/>
      <c r="B228" s="18"/>
      <c r="C228" s="18"/>
      <c r="D228" s="19" t="str">
        <f aca="false">IF($C228="","",IFERROR(INDEX(Estoque!$C$6:$C$45,MATCH($C228,Estoque!$A$6:$A$45,0)),"Código não encontrado"))</f>
        <v/>
      </c>
      <c r="E228" s="19" t="str">
        <f aca="false">IF($C228="","",IFERROR(INDEX(Estoque!$B$6:$B$45,MATCH($C228,Estoque!$A$6:$A$45,0)),"Código não encontrado"))</f>
        <v/>
      </c>
      <c r="F228" s="18"/>
      <c r="G228" s="18"/>
      <c r="H228" s="18"/>
      <c r="I228" s="20" t="str">
        <f aca="false">IF(OR($B228="",$C228=""),"",IF(OR($B228="Retorno de sobra",$B228="Saída de sobra"),IFERROR(VLOOKUP($G228,Listas!$A$2:$B$5,2,FALSE()),0)*IF($H228="",1,$H228),$H228))</f>
        <v/>
      </c>
      <c r="J228" s="21" t="str">
        <f aca="false">IF($C228="","",IF(ISNA(MATCH($C228,Estoque!$A$6:$A$45,0)),"⚠ Código não encontrado",IF(AND(OR($B228="Retorno de sobra",$B228="Saída de sobra"),$G228=""),"⚠ Escolha a medida da sobra",IF(AND(OR($B228="Entrada",$B228="Saída"),$H228=""),"⚠ Informe a quantidade","OK"))))</f>
        <v/>
      </c>
    </row>
    <row r="229" customFormat="false" ht="15" hidden="false" customHeight="false" outlineLevel="0" collapsed="false">
      <c r="A229" s="22"/>
      <c r="B229" s="18"/>
      <c r="C229" s="18"/>
      <c r="D229" s="19" t="str">
        <f aca="false">IF($C229="","",IFERROR(INDEX(Estoque!$C$6:$C$45,MATCH($C229,Estoque!$A$6:$A$45,0)),"Código não encontrado"))</f>
        <v/>
      </c>
      <c r="E229" s="19" t="str">
        <f aca="false">IF($C229="","",IFERROR(INDEX(Estoque!$B$6:$B$45,MATCH($C229,Estoque!$A$6:$A$45,0)),"Código não encontrado"))</f>
        <v/>
      </c>
      <c r="F229" s="18"/>
      <c r="G229" s="18"/>
      <c r="H229" s="18"/>
      <c r="I229" s="20" t="str">
        <f aca="false">IF(OR($B229="",$C229=""),"",IF(OR($B229="Retorno de sobra",$B229="Saída de sobra"),IFERROR(VLOOKUP($G229,Listas!$A$2:$B$5,2,FALSE()),0)*IF($H229="",1,$H229),$H229))</f>
        <v/>
      </c>
      <c r="J229" s="21" t="str">
        <f aca="false">IF($C229="","",IF(ISNA(MATCH($C229,Estoque!$A$6:$A$45,0)),"⚠ Código não encontrado",IF(AND(OR($B229="Retorno de sobra",$B229="Saída de sobra"),$G229=""),"⚠ Escolha a medida da sobra",IF(AND(OR($B229="Entrada",$B229="Saída"),$H229=""),"⚠ Informe a quantidade","OK"))))</f>
        <v/>
      </c>
    </row>
    <row r="230" customFormat="false" ht="15" hidden="false" customHeight="false" outlineLevel="0" collapsed="false">
      <c r="A230" s="22"/>
      <c r="B230" s="18"/>
      <c r="C230" s="18"/>
      <c r="D230" s="19" t="str">
        <f aca="false">IF($C230="","",IFERROR(INDEX(Estoque!$C$6:$C$45,MATCH($C230,Estoque!$A$6:$A$45,0)),"Código não encontrado"))</f>
        <v/>
      </c>
      <c r="E230" s="19" t="str">
        <f aca="false">IF($C230="","",IFERROR(INDEX(Estoque!$B$6:$B$45,MATCH($C230,Estoque!$A$6:$A$45,0)),"Código não encontrado"))</f>
        <v/>
      </c>
      <c r="F230" s="18"/>
      <c r="G230" s="18"/>
      <c r="H230" s="18"/>
      <c r="I230" s="20" t="str">
        <f aca="false">IF(OR($B230="",$C230=""),"",IF(OR($B230="Retorno de sobra",$B230="Saída de sobra"),IFERROR(VLOOKUP($G230,Listas!$A$2:$B$5,2,FALSE()),0)*IF($H230="",1,$H230),$H230))</f>
        <v/>
      </c>
      <c r="J230" s="21" t="str">
        <f aca="false">IF($C230="","",IF(ISNA(MATCH($C230,Estoque!$A$6:$A$45,0)),"⚠ Código não encontrado",IF(AND(OR($B230="Retorno de sobra",$B230="Saída de sobra"),$G230=""),"⚠ Escolha a medida da sobra",IF(AND(OR($B230="Entrada",$B230="Saída"),$H230=""),"⚠ Informe a quantidade","OK"))))</f>
        <v/>
      </c>
    </row>
    <row r="231" customFormat="false" ht="15" hidden="false" customHeight="false" outlineLevel="0" collapsed="false">
      <c r="A231" s="22"/>
      <c r="B231" s="18"/>
      <c r="C231" s="18"/>
      <c r="D231" s="19" t="str">
        <f aca="false">IF($C231="","",IFERROR(INDEX(Estoque!$C$6:$C$45,MATCH($C231,Estoque!$A$6:$A$45,0)),"Código não encontrado"))</f>
        <v/>
      </c>
      <c r="E231" s="19" t="str">
        <f aca="false">IF($C231="","",IFERROR(INDEX(Estoque!$B$6:$B$45,MATCH($C231,Estoque!$A$6:$A$45,0)),"Código não encontrado"))</f>
        <v/>
      </c>
      <c r="F231" s="18"/>
      <c r="G231" s="18"/>
      <c r="H231" s="18"/>
      <c r="I231" s="20" t="str">
        <f aca="false">IF(OR($B231="",$C231=""),"",IF(OR($B231="Retorno de sobra",$B231="Saída de sobra"),IFERROR(VLOOKUP($G231,Listas!$A$2:$B$5,2,FALSE()),0)*IF($H231="",1,$H231),$H231))</f>
        <v/>
      </c>
      <c r="J231" s="21" t="str">
        <f aca="false">IF($C231="","",IF(ISNA(MATCH($C231,Estoque!$A$6:$A$45,0)),"⚠ Código não encontrado",IF(AND(OR($B231="Retorno de sobra",$B231="Saída de sobra"),$G231=""),"⚠ Escolha a medida da sobra",IF(AND(OR($B231="Entrada",$B231="Saída"),$H231=""),"⚠ Informe a quantidade","OK"))))</f>
        <v/>
      </c>
    </row>
    <row r="232" customFormat="false" ht="15" hidden="false" customHeight="false" outlineLevel="0" collapsed="false">
      <c r="A232" s="22"/>
      <c r="B232" s="18"/>
      <c r="C232" s="18"/>
      <c r="D232" s="19" t="str">
        <f aca="false">IF($C232="","",IFERROR(INDEX(Estoque!$C$6:$C$45,MATCH($C232,Estoque!$A$6:$A$45,0)),"Código não encontrado"))</f>
        <v/>
      </c>
      <c r="E232" s="19" t="str">
        <f aca="false">IF($C232="","",IFERROR(INDEX(Estoque!$B$6:$B$45,MATCH($C232,Estoque!$A$6:$A$45,0)),"Código não encontrado"))</f>
        <v/>
      </c>
      <c r="F232" s="18"/>
      <c r="G232" s="18"/>
      <c r="H232" s="18"/>
      <c r="I232" s="20" t="str">
        <f aca="false">IF(OR($B232="",$C232=""),"",IF(OR($B232="Retorno de sobra",$B232="Saída de sobra"),IFERROR(VLOOKUP($G232,Listas!$A$2:$B$5,2,FALSE()),0)*IF($H232="",1,$H232),$H232))</f>
        <v/>
      </c>
      <c r="J232" s="21" t="str">
        <f aca="false">IF($C232="","",IF(ISNA(MATCH($C232,Estoque!$A$6:$A$45,0)),"⚠ Código não encontrado",IF(AND(OR($B232="Retorno de sobra",$B232="Saída de sobra"),$G232=""),"⚠ Escolha a medida da sobra",IF(AND(OR($B232="Entrada",$B232="Saída"),$H232=""),"⚠ Informe a quantidade","OK"))))</f>
        <v/>
      </c>
    </row>
    <row r="233" customFormat="false" ht="15" hidden="false" customHeight="false" outlineLevel="0" collapsed="false">
      <c r="A233" s="22"/>
      <c r="B233" s="18"/>
      <c r="C233" s="18"/>
      <c r="D233" s="19" t="str">
        <f aca="false">IF($C233="","",IFERROR(INDEX(Estoque!$C$6:$C$45,MATCH($C233,Estoque!$A$6:$A$45,0)),"Código não encontrado"))</f>
        <v/>
      </c>
      <c r="E233" s="19" t="str">
        <f aca="false">IF($C233="","",IFERROR(INDEX(Estoque!$B$6:$B$45,MATCH($C233,Estoque!$A$6:$A$45,0)),"Código não encontrado"))</f>
        <v/>
      </c>
      <c r="F233" s="18"/>
      <c r="G233" s="18"/>
      <c r="H233" s="18"/>
      <c r="I233" s="20" t="str">
        <f aca="false">IF(OR($B233="",$C233=""),"",IF(OR($B233="Retorno de sobra",$B233="Saída de sobra"),IFERROR(VLOOKUP($G233,Listas!$A$2:$B$5,2,FALSE()),0)*IF($H233="",1,$H233),$H233))</f>
        <v/>
      </c>
      <c r="J233" s="21" t="str">
        <f aca="false">IF($C233="","",IF(ISNA(MATCH($C233,Estoque!$A$6:$A$45,0)),"⚠ Código não encontrado",IF(AND(OR($B233="Retorno de sobra",$B233="Saída de sobra"),$G233=""),"⚠ Escolha a medida da sobra",IF(AND(OR($B233="Entrada",$B233="Saída"),$H233=""),"⚠ Informe a quantidade","OK"))))</f>
        <v/>
      </c>
    </row>
    <row r="234" customFormat="false" ht="15" hidden="false" customHeight="false" outlineLevel="0" collapsed="false">
      <c r="A234" s="22"/>
      <c r="B234" s="18"/>
      <c r="C234" s="18"/>
      <c r="D234" s="19" t="str">
        <f aca="false">IF($C234="","",IFERROR(INDEX(Estoque!$C$6:$C$45,MATCH($C234,Estoque!$A$6:$A$45,0)),"Código não encontrado"))</f>
        <v/>
      </c>
      <c r="E234" s="19" t="str">
        <f aca="false">IF($C234="","",IFERROR(INDEX(Estoque!$B$6:$B$45,MATCH($C234,Estoque!$A$6:$A$45,0)),"Código não encontrado"))</f>
        <v/>
      </c>
      <c r="F234" s="18"/>
      <c r="G234" s="18"/>
      <c r="H234" s="18"/>
      <c r="I234" s="20" t="str">
        <f aca="false">IF(OR($B234="",$C234=""),"",IF(OR($B234="Retorno de sobra",$B234="Saída de sobra"),IFERROR(VLOOKUP($G234,Listas!$A$2:$B$5,2,FALSE()),0)*IF($H234="",1,$H234),$H234))</f>
        <v/>
      </c>
      <c r="J234" s="21" t="str">
        <f aca="false">IF($C234="","",IF(ISNA(MATCH($C234,Estoque!$A$6:$A$45,0)),"⚠ Código não encontrado",IF(AND(OR($B234="Retorno de sobra",$B234="Saída de sobra"),$G234=""),"⚠ Escolha a medida da sobra",IF(AND(OR($B234="Entrada",$B234="Saída"),$H234=""),"⚠ Informe a quantidade","OK"))))</f>
        <v/>
      </c>
    </row>
    <row r="235" customFormat="false" ht="15" hidden="false" customHeight="false" outlineLevel="0" collapsed="false">
      <c r="A235" s="22"/>
      <c r="B235" s="18"/>
      <c r="C235" s="18"/>
      <c r="D235" s="19" t="str">
        <f aca="false">IF($C235="","",IFERROR(INDEX(Estoque!$C$6:$C$45,MATCH($C235,Estoque!$A$6:$A$45,0)),"Código não encontrado"))</f>
        <v/>
      </c>
      <c r="E235" s="19" t="str">
        <f aca="false">IF($C235="","",IFERROR(INDEX(Estoque!$B$6:$B$45,MATCH($C235,Estoque!$A$6:$A$45,0)),"Código não encontrado"))</f>
        <v/>
      </c>
      <c r="F235" s="18"/>
      <c r="G235" s="18"/>
      <c r="H235" s="18"/>
      <c r="I235" s="20" t="str">
        <f aca="false">IF(OR($B235="",$C235=""),"",IF(OR($B235="Retorno de sobra",$B235="Saída de sobra"),IFERROR(VLOOKUP($G235,Listas!$A$2:$B$5,2,FALSE()),0)*IF($H235="",1,$H235),$H235))</f>
        <v/>
      </c>
      <c r="J235" s="21" t="str">
        <f aca="false">IF($C235="","",IF(ISNA(MATCH($C235,Estoque!$A$6:$A$45,0)),"⚠ Código não encontrado",IF(AND(OR($B235="Retorno de sobra",$B235="Saída de sobra"),$G235=""),"⚠ Escolha a medida da sobra",IF(AND(OR($B235="Entrada",$B235="Saída"),$H235=""),"⚠ Informe a quantidade","OK"))))</f>
        <v/>
      </c>
    </row>
    <row r="236" customFormat="false" ht="15" hidden="false" customHeight="false" outlineLevel="0" collapsed="false">
      <c r="A236" s="22"/>
      <c r="B236" s="18"/>
      <c r="C236" s="18"/>
      <c r="D236" s="19" t="str">
        <f aca="false">IF($C236="","",IFERROR(INDEX(Estoque!$C$6:$C$45,MATCH($C236,Estoque!$A$6:$A$45,0)),"Código não encontrado"))</f>
        <v/>
      </c>
      <c r="E236" s="19" t="str">
        <f aca="false">IF($C236="","",IFERROR(INDEX(Estoque!$B$6:$B$45,MATCH($C236,Estoque!$A$6:$A$45,0)),"Código não encontrado"))</f>
        <v/>
      </c>
      <c r="F236" s="18"/>
      <c r="G236" s="18"/>
      <c r="H236" s="18"/>
      <c r="I236" s="20" t="str">
        <f aca="false">IF(OR($B236="",$C236=""),"",IF(OR($B236="Retorno de sobra",$B236="Saída de sobra"),IFERROR(VLOOKUP($G236,Listas!$A$2:$B$5,2,FALSE()),0)*IF($H236="",1,$H236),$H236))</f>
        <v/>
      </c>
      <c r="J236" s="21" t="str">
        <f aca="false">IF($C236="","",IF(ISNA(MATCH($C236,Estoque!$A$6:$A$45,0)),"⚠ Código não encontrado",IF(AND(OR($B236="Retorno de sobra",$B236="Saída de sobra"),$G236=""),"⚠ Escolha a medida da sobra",IF(AND(OR($B236="Entrada",$B236="Saída"),$H236=""),"⚠ Informe a quantidade","OK"))))</f>
        <v/>
      </c>
    </row>
    <row r="237" customFormat="false" ht="15" hidden="false" customHeight="false" outlineLevel="0" collapsed="false">
      <c r="A237" s="22"/>
      <c r="B237" s="18"/>
      <c r="C237" s="18"/>
      <c r="D237" s="19" t="str">
        <f aca="false">IF($C237="","",IFERROR(INDEX(Estoque!$C$6:$C$45,MATCH($C237,Estoque!$A$6:$A$45,0)),"Código não encontrado"))</f>
        <v/>
      </c>
      <c r="E237" s="19" t="str">
        <f aca="false">IF($C237="","",IFERROR(INDEX(Estoque!$B$6:$B$45,MATCH($C237,Estoque!$A$6:$A$45,0)),"Código não encontrado"))</f>
        <v/>
      </c>
      <c r="F237" s="18"/>
      <c r="G237" s="18"/>
      <c r="H237" s="18"/>
      <c r="I237" s="20" t="str">
        <f aca="false">IF(OR($B237="",$C237=""),"",IF(OR($B237="Retorno de sobra",$B237="Saída de sobra"),IFERROR(VLOOKUP($G237,Listas!$A$2:$B$5,2,FALSE()),0)*IF($H237="",1,$H237),$H237))</f>
        <v/>
      </c>
      <c r="J237" s="21" t="str">
        <f aca="false">IF($C237="","",IF(ISNA(MATCH($C237,Estoque!$A$6:$A$45,0)),"⚠ Código não encontrado",IF(AND(OR($B237="Retorno de sobra",$B237="Saída de sobra"),$G237=""),"⚠ Escolha a medida da sobra",IF(AND(OR($B237="Entrada",$B237="Saída"),$H237=""),"⚠ Informe a quantidade","OK"))))</f>
        <v/>
      </c>
    </row>
    <row r="238" customFormat="false" ht="15" hidden="false" customHeight="false" outlineLevel="0" collapsed="false">
      <c r="A238" s="22"/>
      <c r="B238" s="18"/>
      <c r="C238" s="18"/>
      <c r="D238" s="19" t="str">
        <f aca="false">IF($C238="","",IFERROR(INDEX(Estoque!$C$6:$C$45,MATCH($C238,Estoque!$A$6:$A$45,0)),"Código não encontrado"))</f>
        <v/>
      </c>
      <c r="E238" s="19" t="str">
        <f aca="false">IF($C238="","",IFERROR(INDEX(Estoque!$B$6:$B$45,MATCH($C238,Estoque!$A$6:$A$45,0)),"Código não encontrado"))</f>
        <v/>
      </c>
      <c r="F238" s="18"/>
      <c r="G238" s="18"/>
      <c r="H238" s="18"/>
      <c r="I238" s="20" t="str">
        <f aca="false">IF(OR($B238="",$C238=""),"",IF(OR($B238="Retorno de sobra",$B238="Saída de sobra"),IFERROR(VLOOKUP($G238,Listas!$A$2:$B$5,2,FALSE()),0)*IF($H238="",1,$H238),$H238))</f>
        <v/>
      </c>
      <c r="J238" s="21" t="str">
        <f aca="false">IF($C238="","",IF(ISNA(MATCH($C238,Estoque!$A$6:$A$45,0)),"⚠ Código não encontrado",IF(AND(OR($B238="Retorno de sobra",$B238="Saída de sobra"),$G238=""),"⚠ Escolha a medida da sobra",IF(AND(OR($B238="Entrada",$B238="Saída"),$H238=""),"⚠ Informe a quantidade","OK"))))</f>
        <v/>
      </c>
    </row>
    <row r="239" customFormat="false" ht="15" hidden="false" customHeight="false" outlineLevel="0" collapsed="false">
      <c r="A239" s="22"/>
      <c r="B239" s="18"/>
      <c r="C239" s="18"/>
      <c r="D239" s="19" t="str">
        <f aca="false">IF($C239="","",IFERROR(INDEX(Estoque!$C$6:$C$45,MATCH($C239,Estoque!$A$6:$A$45,0)),"Código não encontrado"))</f>
        <v/>
      </c>
      <c r="E239" s="19" t="str">
        <f aca="false">IF($C239="","",IFERROR(INDEX(Estoque!$B$6:$B$45,MATCH($C239,Estoque!$A$6:$A$45,0)),"Código não encontrado"))</f>
        <v/>
      </c>
      <c r="F239" s="18"/>
      <c r="G239" s="18"/>
      <c r="H239" s="18"/>
      <c r="I239" s="20" t="str">
        <f aca="false">IF(OR($B239="",$C239=""),"",IF(OR($B239="Retorno de sobra",$B239="Saída de sobra"),IFERROR(VLOOKUP($G239,Listas!$A$2:$B$5,2,FALSE()),0)*IF($H239="",1,$H239),$H239))</f>
        <v/>
      </c>
      <c r="J239" s="21" t="str">
        <f aca="false">IF($C239="","",IF(ISNA(MATCH($C239,Estoque!$A$6:$A$45,0)),"⚠ Código não encontrado",IF(AND(OR($B239="Retorno de sobra",$B239="Saída de sobra"),$G239=""),"⚠ Escolha a medida da sobra",IF(AND(OR($B239="Entrada",$B239="Saída"),$H239=""),"⚠ Informe a quantidade","OK"))))</f>
        <v/>
      </c>
    </row>
    <row r="240" customFormat="false" ht="15" hidden="false" customHeight="false" outlineLevel="0" collapsed="false">
      <c r="A240" s="22"/>
      <c r="B240" s="18"/>
      <c r="C240" s="18"/>
      <c r="D240" s="19" t="str">
        <f aca="false">IF($C240="","",IFERROR(INDEX(Estoque!$C$6:$C$45,MATCH($C240,Estoque!$A$6:$A$45,0)),"Código não encontrado"))</f>
        <v/>
      </c>
      <c r="E240" s="19" t="str">
        <f aca="false">IF($C240="","",IFERROR(INDEX(Estoque!$B$6:$B$45,MATCH($C240,Estoque!$A$6:$A$45,0)),"Código não encontrado"))</f>
        <v/>
      </c>
      <c r="F240" s="18"/>
      <c r="G240" s="18"/>
      <c r="H240" s="18"/>
      <c r="I240" s="20" t="str">
        <f aca="false">IF(OR($B240="",$C240=""),"",IF(OR($B240="Retorno de sobra",$B240="Saída de sobra"),IFERROR(VLOOKUP($G240,Listas!$A$2:$B$5,2,FALSE()),0)*IF($H240="",1,$H240),$H240))</f>
        <v/>
      </c>
      <c r="J240" s="21" t="str">
        <f aca="false">IF($C240="","",IF(ISNA(MATCH($C240,Estoque!$A$6:$A$45,0)),"⚠ Código não encontrado",IF(AND(OR($B240="Retorno de sobra",$B240="Saída de sobra"),$G240=""),"⚠ Escolha a medida da sobra",IF(AND(OR($B240="Entrada",$B240="Saída"),$H240=""),"⚠ Informe a quantidade","OK"))))</f>
        <v/>
      </c>
    </row>
    <row r="241" customFormat="false" ht="15" hidden="false" customHeight="false" outlineLevel="0" collapsed="false">
      <c r="A241" s="22"/>
      <c r="B241" s="18"/>
      <c r="C241" s="18"/>
      <c r="D241" s="19" t="str">
        <f aca="false">IF($C241="","",IFERROR(INDEX(Estoque!$C$6:$C$45,MATCH($C241,Estoque!$A$6:$A$45,0)),"Código não encontrado"))</f>
        <v/>
      </c>
      <c r="E241" s="19" t="str">
        <f aca="false">IF($C241="","",IFERROR(INDEX(Estoque!$B$6:$B$45,MATCH($C241,Estoque!$A$6:$A$45,0)),"Código não encontrado"))</f>
        <v/>
      </c>
      <c r="F241" s="18"/>
      <c r="G241" s="18"/>
      <c r="H241" s="18"/>
      <c r="I241" s="20" t="str">
        <f aca="false">IF(OR($B241="",$C241=""),"",IF(OR($B241="Retorno de sobra",$B241="Saída de sobra"),IFERROR(VLOOKUP($G241,Listas!$A$2:$B$5,2,FALSE()),0)*IF($H241="",1,$H241),$H241))</f>
        <v/>
      </c>
      <c r="J241" s="21" t="str">
        <f aca="false">IF($C241="","",IF(ISNA(MATCH($C241,Estoque!$A$6:$A$45,0)),"⚠ Código não encontrado",IF(AND(OR($B241="Retorno de sobra",$B241="Saída de sobra"),$G241=""),"⚠ Escolha a medida da sobra",IF(AND(OR($B241="Entrada",$B241="Saída"),$H241=""),"⚠ Informe a quantidade","OK"))))</f>
        <v/>
      </c>
    </row>
    <row r="242" customFormat="false" ht="15" hidden="false" customHeight="false" outlineLevel="0" collapsed="false">
      <c r="A242" s="22"/>
      <c r="B242" s="18"/>
      <c r="C242" s="18"/>
      <c r="D242" s="19" t="str">
        <f aca="false">IF($C242="","",IFERROR(INDEX(Estoque!$C$6:$C$45,MATCH($C242,Estoque!$A$6:$A$45,0)),"Código não encontrado"))</f>
        <v/>
      </c>
      <c r="E242" s="19" t="str">
        <f aca="false">IF($C242="","",IFERROR(INDEX(Estoque!$B$6:$B$45,MATCH($C242,Estoque!$A$6:$A$45,0)),"Código não encontrado"))</f>
        <v/>
      </c>
      <c r="F242" s="18"/>
      <c r="G242" s="18"/>
      <c r="H242" s="18"/>
      <c r="I242" s="20" t="str">
        <f aca="false">IF(OR($B242="",$C242=""),"",IF(OR($B242="Retorno de sobra",$B242="Saída de sobra"),IFERROR(VLOOKUP($G242,Listas!$A$2:$B$5,2,FALSE()),0)*IF($H242="",1,$H242),$H242))</f>
        <v/>
      </c>
      <c r="J242" s="21" t="str">
        <f aca="false">IF($C242="","",IF(ISNA(MATCH($C242,Estoque!$A$6:$A$45,0)),"⚠ Código não encontrado",IF(AND(OR($B242="Retorno de sobra",$B242="Saída de sobra"),$G242=""),"⚠ Escolha a medida da sobra",IF(AND(OR($B242="Entrada",$B242="Saída"),$H242=""),"⚠ Informe a quantidade","OK"))))</f>
        <v/>
      </c>
    </row>
    <row r="243" customFormat="false" ht="15" hidden="false" customHeight="false" outlineLevel="0" collapsed="false">
      <c r="A243" s="22"/>
      <c r="B243" s="18"/>
      <c r="C243" s="18"/>
      <c r="D243" s="19" t="str">
        <f aca="false">IF($C243="","",IFERROR(INDEX(Estoque!$C$6:$C$45,MATCH($C243,Estoque!$A$6:$A$45,0)),"Código não encontrado"))</f>
        <v/>
      </c>
      <c r="E243" s="19" t="str">
        <f aca="false">IF($C243="","",IFERROR(INDEX(Estoque!$B$6:$B$45,MATCH($C243,Estoque!$A$6:$A$45,0)),"Código não encontrado"))</f>
        <v/>
      </c>
      <c r="F243" s="18"/>
      <c r="G243" s="18"/>
      <c r="H243" s="18"/>
      <c r="I243" s="20" t="str">
        <f aca="false">IF(OR($B243="",$C243=""),"",IF(OR($B243="Retorno de sobra",$B243="Saída de sobra"),IFERROR(VLOOKUP($G243,Listas!$A$2:$B$5,2,FALSE()),0)*IF($H243="",1,$H243),$H243))</f>
        <v/>
      </c>
      <c r="J243" s="21" t="str">
        <f aca="false">IF($C243="","",IF(ISNA(MATCH($C243,Estoque!$A$6:$A$45,0)),"⚠ Código não encontrado",IF(AND(OR($B243="Retorno de sobra",$B243="Saída de sobra"),$G243=""),"⚠ Escolha a medida da sobra",IF(AND(OR($B243="Entrada",$B243="Saída"),$H243=""),"⚠ Informe a quantidade","OK"))))</f>
        <v/>
      </c>
    </row>
    <row r="244" customFormat="false" ht="15" hidden="false" customHeight="false" outlineLevel="0" collapsed="false">
      <c r="A244" s="22"/>
      <c r="B244" s="18"/>
      <c r="C244" s="18"/>
      <c r="D244" s="19" t="str">
        <f aca="false">IF($C244="","",IFERROR(INDEX(Estoque!$C$6:$C$45,MATCH($C244,Estoque!$A$6:$A$45,0)),"Código não encontrado"))</f>
        <v/>
      </c>
      <c r="E244" s="19" t="str">
        <f aca="false">IF($C244="","",IFERROR(INDEX(Estoque!$B$6:$B$45,MATCH($C244,Estoque!$A$6:$A$45,0)),"Código não encontrado"))</f>
        <v/>
      </c>
      <c r="F244" s="18"/>
      <c r="G244" s="18"/>
      <c r="H244" s="18"/>
      <c r="I244" s="20" t="str">
        <f aca="false">IF(OR($B244="",$C244=""),"",IF(OR($B244="Retorno de sobra",$B244="Saída de sobra"),IFERROR(VLOOKUP($G244,Listas!$A$2:$B$5,2,FALSE()),0)*IF($H244="",1,$H244),$H244))</f>
        <v/>
      </c>
      <c r="J244" s="21" t="str">
        <f aca="false">IF($C244="","",IF(ISNA(MATCH($C244,Estoque!$A$6:$A$45,0)),"⚠ Código não encontrado",IF(AND(OR($B244="Retorno de sobra",$B244="Saída de sobra"),$G244=""),"⚠ Escolha a medida da sobra",IF(AND(OR($B244="Entrada",$B244="Saída"),$H244=""),"⚠ Informe a quantidade","OK"))))</f>
        <v/>
      </c>
    </row>
    <row r="245" customFormat="false" ht="15" hidden="false" customHeight="false" outlineLevel="0" collapsed="false">
      <c r="A245" s="22"/>
      <c r="B245" s="18"/>
      <c r="C245" s="18"/>
      <c r="D245" s="19" t="str">
        <f aca="false">IF($C245="","",IFERROR(INDEX(Estoque!$C$6:$C$45,MATCH($C245,Estoque!$A$6:$A$45,0)),"Código não encontrado"))</f>
        <v/>
      </c>
      <c r="E245" s="19" t="str">
        <f aca="false">IF($C245="","",IFERROR(INDEX(Estoque!$B$6:$B$45,MATCH($C245,Estoque!$A$6:$A$45,0)),"Código não encontrado"))</f>
        <v/>
      </c>
      <c r="F245" s="18"/>
      <c r="G245" s="18"/>
      <c r="H245" s="18"/>
      <c r="I245" s="20" t="str">
        <f aca="false">IF(OR($B245="",$C245=""),"",IF(OR($B245="Retorno de sobra",$B245="Saída de sobra"),IFERROR(VLOOKUP($G245,Listas!$A$2:$B$5,2,FALSE()),0)*IF($H245="",1,$H245),$H245))</f>
        <v/>
      </c>
      <c r="J245" s="21" t="str">
        <f aca="false">IF($C245="","",IF(ISNA(MATCH($C245,Estoque!$A$6:$A$45,0)),"⚠ Código não encontrado",IF(AND(OR($B245="Retorno de sobra",$B245="Saída de sobra"),$G245=""),"⚠ Escolha a medida da sobra",IF(AND(OR($B245="Entrada",$B245="Saída"),$H245=""),"⚠ Informe a quantidade","OK"))))</f>
        <v/>
      </c>
    </row>
    <row r="246" customFormat="false" ht="15" hidden="false" customHeight="false" outlineLevel="0" collapsed="false">
      <c r="A246" s="22"/>
      <c r="B246" s="18"/>
      <c r="C246" s="18"/>
      <c r="D246" s="19" t="str">
        <f aca="false">IF($C246="","",IFERROR(INDEX(Estoque!$C$6:$C$45,MATCH($C246,Estoque!$A$6:$A$45,0)),"Código não encontrado"))</f>
        <v/>
      </c>
      <c r="E246" s="19" t="str">
        <f aca="false">IF($C246="","",IFERROR(INDEX(Estoque!$B$6:$B$45,MATCH($C246,Estoque!$A$6:$A$45,0)),"Código não encontrado"))</f>
        <v/>
      </c>
      <c r="F246" s="18"/>
      <c r="G246" s="18"/>
      <c r="H246" s="18"/>
      <c r="I246" s="20" t="str">
        <f aca="false">IF(OR($B246="",$C246=""),"",IF(OR($B246="Retorno de sobra",$B246="Saída de sobra"),IFERROR(VLOOKUP($G246,Listas!$A$2:$B$5,2,FALSE()),0)*IF($H246="",1,$H246),$H246))</f>
        <v/>
      </c>
      <c r="J246" s="21" t="str">
        <f aca="false">IF($C246="","",IF(ISNA(MATCH($C246,Estoque!$A$6:$A$45,0)),"⚠ Código não encontrado",IF(AND(OR($B246="Retorno de sobra",$B246="Saída de sobra"),$G246=""),"⚠ Escolha a medida da sobra",IF(AND(OR($B246="Entrada",$B246="Saída"),$H246=""),"⚠ Informe a quantidade","OK"))))</f>
        <v/>
      </c>
    </row>
    <row r="247" customFormat="false" ht="15" hidden="false" customHeight="false" outlineLevel="0" collapsed="false">
      <c r="A247" s="22"/>
      <c r="B247" s="18"/>
      <c r="C247" s="18"/>
      <c r="D247" s="19" t="str">
        <f aca="false">IF($C247="","",IFERROR(INDEX(Estoque!$C$6:$C$45,MATCH($C247,Estoque!$A$6:$A$45,0)),"Código não encontrado"))</f>
        <v/>
      </c>
      <c r="E247" s="19" t="str">
        <f aca="false">IF($C247="","",IFERROR(INDEX(Estoque!$B$6:$B$45,MATCH($C247,Estoque!$A$6:$A$45,0)),"Código não encontrado"))</f>
        <v/>
      </c>
      <c r="F247" s="18"/>
      <c r="G247" s="18"/>
      <c r="H247" s="18"/>
      <c r="I247" s="20" t="str">
        <f aca="false">IF(OR($B247="",$C247=""),"",IF(OR($B247="Retorno de sobra",$B247="Saída de sobra"),IFERROR(VLOOKUP($G247,Listas!$A$2:$B$5,2,FALSE()),0)*IF($H247="",1,$H247),$H247))</f>
        <v/>
      </c>
      <c r="J247" s="21" t="str">
        <f aca="false">IF($C247="","",IF(ISNA(MATCH($C247,Estoque!$A$6:$A$45,0)),"⚠ Código não encontrado",IF(AND(OR($B247="Retorno de sobra",$B247="Saída de sobra"),$G247=""),"⚠ Escolha a medida da sobra",IF(AND(OR($B247="Entrada",$B247="Saída"),$H247=""),"⚠ Informe a quantidade","OK"))))</f>
        <v/>
      </c>
    </row>
    <row r="248" customFormat="false" ht="15" hidden="false" customHeight="false" outlineLevel="0" collapsed="false">
      <c r="A248" s="22"/>
      <c r="B248" s="18"/>
      <c r="C248" s="18"/>
      <c r="D248" s="19" t="str">
        <f aca="false">IF($C248="","",IFERROR(INDEX(Estoque!$C$6:$C$45,MATCH($C248,Estoque!$A$6:$A$45,0)),"Código não encontrado"))</f>
        <v/>
      </c>
      <c r="E248" s="19" t="str">
        <f aca="false">IF($C248="","",IFERROR(INDEX(Estoque!$B$6:$B$45,MATCH($C248,Estoque!$A$6:$A$45,0)),"Código não encontrado"))</f>
        <v/>
      </c>
      <c r="F248" s="18"/>
      <c r="G248" s="18"/>
      <c r="H248" s="18"/>
      <c r="I248" s="20" t="str">
        <f aca="false">IF(OR($B248="",$C248=""),"",IF(OR($B248="Retorno de sobra",$B248="Saída de sobra"),IFERROR(VLOOKUP($G248,Listas!$A$2:$B$5,2,FALSE()),0)*IF($H248="",1,$H248),$H248))</f>
        <v/>
      </c>
      <c r="J248" s="21" t="str">
        <f aca="false">IF($C248="","",IF(ISNA(MATCH($C248,Estoque!$A$6:$A$45,0)),"⚠ Código não encontrado",IF(AND(OR($B248="Retorno de sobra",$B248="Saída de sobra"),$G248=""),"⚠ Escolha a medida da sobra",IF(AND(OR($B248="Entrada",$B248="Saída"),$H248=""),"⚠ Informe a quantidade","OK"))))</f>
        <v/>
      </c>
    </row>
    <row r="249" customFormat="false" ht="15" hidden="false" customHeight="false" outlineLevel="0" collapsed="false">
      <c r="A249" s="22"/>
      <c r="B249" s="18"/>
      <c r="C249" s="18"/>
      <c r="D249" s="19" t="str">
        <f aca="false">IF($C249="","",IFERROR(INDEX(Estoque!$C$6:$C$45,MATCH($C249,Estoque!$A$6:$A$45,0)),"Código não encontrado"))</f>
        <v/>
      </c>
      <c r="E249" s="19" t="str">
        <f aca="false">IF($C249="","",IFERROR(INDEX(Estoque!$B$6:$B$45,MATCH($C249,Estoque!$A$6:$A$45,0)),"Código não encontrado"))</f>
        <v/>
      </c>
      <c r="F249" s="18"/>
      <c r="G249" s="18"/>
      <c r="H249" s="18"/>
      <c r="I249" s="20" t="str">
        <f aca="false">IF(OR($B249="",$C249=""),"",IF(OR($B249="Retorno de sobra",$B249="Saída de sobra"),IFERROR(VLOOKUP($G249,Listas!$A$2:$B$5,2,FALSE()),0)*IF($H249="",1,$H249),$H249))</f>
        <v/>
      </c>
      <c r="J249" s="21" t="str">
        <f aca="false">IF($C249="","",IF(ISNA(MATCH($C249,Estoque!$A$6:$A$45,0)),"⚠ Código não encontrado",IF(AND(OR($B249="Retorno de sobra",$B249="Saída de sobra"),$G249=""),"⚠ Escolha a medida da sobra",IF(AND(OR($B249="Entrada",$B249="Saída"),$H249=""),"⚠ Informe a quantidade","OK"))))</f>
        <v/>
      </c>
    </row>
    <row r="250" customFormat="false" ht="15" hidden="false" customHeight="false" outlineLevel="0" collapsed="false">
      <c r="A250" s="22"/>
      <c r="B250" s="18"/>
      <c r="C250" s="18"/>
      <c r="D250" s="19" t="str">
        <f aca="false">IF($C250="","",IFERROR(INDEX(Estoque!$C$6:$C$45,MATCH($C250,Estoque!$A$6:$A$45,0)),"Código não encontrado"))</f>
        <v/>
      </c>
      <c r="E250" s="19" t="str">
        <f aca="false">IF($C250="","",IFERROR(INDEX(Estoque!$B$6:$B$45,MATCH($C250,Estoque!$A$6:$A$45,0)),"Código não encontrado"))</f>
        <v/>
      </c>
      <c r="F250" s="18"/>
      <c r="G250" s="18"/>
      <c r="H250" s="18"/>
      <c r="I250" s="20" t="str">
        <f aca="false">IF(OR($B250="",$C250=""),"",IF(OR($B250="Retorno de sobra",$B250="Saída de sobra"),IFERROR(VLOOKUP($G250,Listas!$A$2:$B$5,2,FALSE()),0)*IF($H250="",1,$H250),$H250))</f>
        <v/>
      </c>
      <c r="J250" s="21" t="str">
        <f aca="false">IF($C250="","",IF(ISNA(MATCH($C250,Estoque!$A$6:$A$45,0)),"⚠ Código não encontrado",IF(AND(OR($B250="Retorno de sobra",$B250="Saída de sobra"),$G250=""),"⚠ Escolha a medida da sobra",IF(AND(OR($B250="Entrada",$B250="Saída"),$H250=""),"⚠ Informe a quantidade","OK"))))</f>
        <v/>
      </c>
    </row>
    <row r="251" customFormat="false" ht="15" hidden="false" customHeight="false" outlineLevel="0" collapsed="false">
      <c r="A251" s="22"/>
      <c r="B251" s="18"/>
      <c r="C251" s="18"/>
      <c r="D251" s="19" t="str">
        <f aca="false">IF($C251="","",IFERROR(INDEX(Estoque!$C$6:$C$45,MATCH($C251,Estoque!$A$6:$A$45,0)),"Código não encontrado"))</f>
        <v/>
      </c>
      <c r="E251" s="19" t="str">
        <f aca="false">IF($C251="","",IFERROR(INDEX(Estoque!$B$6:$B$45,MATCH($C251,Estoque!$A$6:$A$45,0)),"Código não encontrado"))</f>
        <v/>
      </c>
      <c r="F251" s="18"/>
      <c r="G251" s="18"/>
      <c r="H251" s="18"/>
      <c r="I251" s="20" t="str">
        <f aca="false">IF(OR($B251="",$C251=""),"",IF(OR($B251="Retorno de sobra",$B251="Saída de sobra"),IFERROR(VLOOKUP($G251,Listas!$A$2:$B$5,2,FALSE()),0)*IF($H251="",1,$H251),$H251))</f>
        <v/>
      </c>
      <c r="J251" s="21" t="str">
        <f aca="false">IF($C251="","",IF(ISNA(MATCH($C251,Estoque!$A$6:$A$45,0)),"⚠ Código não encontrado",IF(AND(OR($B251="Retorno de sobra",$B251="Saída de sobra"),$G251=""),"⚠ Escolha a medida da sobra",IF(AND(OR($B251="Entrada",$B251="Saída"),$H251=""),"⚠ Informe a quantidade","OK"))))</f>
        <v/>
      </c>
    </row>
    <row r="252" customFormat="false" ht="15" hidden="false" customHeight="false" outlineLevel="0" collapsed="false">
      <c r="A252" s="22"/>
      <c r="B252" s="18"/>
      <c r="C252" s="18"/>
      <c r="D252" s="19" t="str">
        <f aca="false">IF($C252="","",IFERROR(INDEX(Estoque!$C$6:$C$45,MATCH($C252,Estoque!$A$6:$A$45,0)),"Código não encontrado"))</f>
        <v/>
      </c>
      <c r="E252" s="19" t="str">
        <f aca="false">IF($C252="","",IFERROR(INDEX(Estoque!$B$6:$B$45,MATCH($C252,Estoque!$A$6:$A$45,0)),"Código não encontrado"))</f>
        <v/>
      </c>
      <c r="F252" s="18"/>
      <c r="G252" s="18"/>
      <c r="H252" s="18"/>
      <c r="I252" s="20" t="str">
        <f aca="false">IF(OR($B252="",$C252=""),"",IF(OR($B252="Retorno de sobra",$B252="Saída de sobra"),IFERROR(VLOOKUP($G252,Listas!$A$2:$B$5,2,FALSE()),0)*IF($H252="",1,$H252),$H252))</f>
        <v/>
      </c>
      <c r="J252" s="21" t="str">
        <f aca="false">IF($C252="","",IF(ISNA(MATCH($C252,Estoque!$A$6:$A$45,0)),"⚠ Código não encontrado",IF(AND(OR($B252="Retorno de sobra",$B252="Saída de sobra"),$G252=""),"⚠ Escolha a medida da sobra",IF(AND(OR($B252="Entrada",$B252="Saída"),$H252=""),"⚠ Informe a quantidade","OK"))))</f>
        <v/>
      </c>
    </row>
    <row r="253" customFormat="false" ht="15" hidden="false" customHeight="false" outlineLevel="0" collapsed="false">
      <c r="A253" s="22"/>
      <c r="B253" s="18"/>
      <c r="C253" s="18"/>
      <c r="D253" s="19" t="str">
        <f aca="false">IF($C253="","",IFERROR(INDEX(Estoque!$C$6:$C$45,MATCH($C253,Estoque!$A$6:$A$45,0)),"Código não encontrado"))</f>
        <v/>
      </c>
      <c r="E253" s="19" t="str">
        <f aca="false">IF($C253="","",IFERROR(INDEX(Estoque!$B$6:$B$45,MATCH($C253,Estoque!$A$6:$A$45,0)),"Código não encontrado"))</f>
        <v/>
      </c>
      <c r="F253" s="18"/>
      <c r="G253" s="18"/>
      <c r="H253" s="18"/>
      <c r="I253" s="20" t="str">
        <f aca="false">IF(OR($B253="",$C253=""),"",IF(OR($B253="Retorno de sobra",$B253="Saída de sobra"),IFERROR(VLOOKUP($G253,Listas!$A$2:$B$5,2,FALSE()),0)*IF($H253="",1,$H253),$H253))</f>
        <v/>
      </c>
      <c r="J253" s="21" t="str">
        <f aca="false">IF($C253="","",IF(ISNA(MATCH($C253,Estoque!$A$6:$A$45,0)),"⚠ Código não encontrado",IF(AND(OR($B253="Retorno de sobra",$B253="Saída de sobra"),$G253=""),"⚠ Escolha a medida da sobra",IF(AND(OR($B253="Entrada",$B253="Saída"),$H253=""),"⚠ Informe a quantidade","OK"))))</f>
        <v/>
      </c>
    </row>
    <row r="254" customFormat="false" ht="15" hidden="false" customHeight="false" outlineLevel="0" collapsed="false">
      <c r="A254" s="22"/>
      <c r="B254" s="18"/>
      <c r="C254" s="18"/>
      <c r="D254" s="19" t="str">
        <f aca="false">IF($C254="","",IFERROR(INDEX(Estoque!$C$6:$C$45,MATCH($C254,Estoque!$A$6:$A$45,0)),"Código não encontrado"))</f>
        <v/>
      </c>
      <c r="E254" s="19" t="str">
        <f aca="false">IF($C254="","",IFERROR(INDEX(Estoque!$B$6:$B$45,MATCH($C254,Estoque!$A$6:$A$45,0)),"Código não encontrado"))</f>
        <v/>
      </c>
      <c r="F254" s="18"/>
      <c r="G254" s="18"/>
      <c r="H254" s="18"/>
      <c r="I254" s="20" t="str">
        <f aca="false">IF(OR($B254="",$C254=""),"",IF(OR($B254="Retorno de sobra",$B254="Saída de sobra"),IFERROR(VLOOKUP($G254,Listas!$A$2:$B$5,2,FALSE()),0)*IF($H254="",1,$H254),$H254))</f>
        <v/>
      </c>
      <c r="J254" s="21" t="str">
        <f aca="false">IF($C254="","",IF(ISNA(MATCH($C254,Estoque!$A$6:$A$45,0)),"⚠ Código não encontrado",IF(AND(OR($B254="Retorno de sobra",$B254="Saída de sobra"),$G254=""),"⚠ Escolha a medida da sobra",IF(AND(OR($B254="Entrada",$B254="Saída"),$H254=""),"⚠ Informe a quantidade","OK"))))</f>
        <v/>
      </c>
    </row>
    <row r="255" customFormat="false" ht="15" hidden="false" customHeight="false" outlineLevel="0" collapsed="false">
      <c r="A255" s="22"/>
      <c r="B255" s="18"/>
      <c r="C255" s="18"/>
      <c r="D255" s="19" t="str">
        <f aca="false">IF($C255="","",IFERROR(INDEX(Estoque!$C$6:$C$45,MATCH($C255,Estoque!$A$6:$A$45,0)),"Código não encontrado"))</f>
        <v/>
      </c>
      <c r="E255" s="19" t="str">
        <f aca="false">IF($C255="","",IFERROR(INDEX(Estoque!$B$6:$B$45,MATCH($C255,Estoque!$A$6:$A$45,0)),"Código não encontrado"))</f>
        <v/>
      </c>
      <c r="F255" s="18"/>
      <c r="G255" s="18"/>
      <c r="H255" s="18"/>
      <c r="I255" s="20" t="str">
        <f aca="false">IF(OR($B255="",$C255=""),"",IF(OR($B255="Retorno de sobra",$B255="Saída de sobra"),IFERROR(VLOOKUP($G255,Listas!$A$2:$B$5,2,FALSE()),0)*IF($H255="",1,$H255),$H255))</f>
        <v/>
      </c>
      <c r="J255" s="21" t="str">
        <f aca="false">IF($C255="","",IF(ISNA(MATCH($C255,Estoque!$A$6:$A$45,0)),"⚠ Código não encontrado",IF(AND(OR($B255="Retorno de sobra",$B255="Saída de sobra"),$G255=""),"⚠ Escolha a medida da sobra",IF(AND(OR($B255="Entrada",$B255="Saída"),$H255=""),"⚠ Informe a quantidade","OK"))))</f>
        <v/>
      </c>
    </row>
    <row r="256" customFormat="false" ht="15" hidden="false" customHeight="false" outlineLevel="0" collapsed="false">
      <c r="A256" s="22"/>
      <c r="B256" s="18"/>
      <c r="C256" s="18"/>
      <c r="D256" s="19" t="str">
        <f aca="false">IF($C256="","",IFERROR(INDEX(Estoque!$C$6:$C$45,MATCH($C256,Estoque!$A$6:$A$45,0)),"Código não encontrado"))</f>
        <v/>
      </c>
      <c r="E256" s="19" t="str">
        <f aca="false">IF($C256="","",IFERROR(INDEX(Estoque!$B$6:$B$45,MATCH($C256,Estoque!$A$6:$A$45,0)),"Código não encontrado"))</f>
        <v/>
      </c>
      <c r="F256" s="18"/>
      <c r="G256" s="18"/>
      <c r="H256" s="18"/>
      <c r="I256" s="20" t="str">
        <f aca="false">IF(OR($B256="",$C256=""),"",IF(OR($B256="Retorno de sobra",$B256="Saída de sobra"),IFERROR(VLOOKUP($G256,Listas!$A$2:$B$5,2,FALSE()),0)*IF($H256="",1,$H256),$H256))</f>
        <v/>
      </c>
      <c r="J256" s="21" t="str">
        <f aca="false">IF($C256="","",IF(ISNA(MATCH($C256,Estoque!$A$6:$A$45,0)),"⚠ Código não encontrado",IF(AND(OR($B256="Retorno de sobra",$B256="Saída de sobra"),$G256=""),"⚠ Escolha a medida da sobra",IF(AND(OR($B256="Entrada",$B256="Saída"),$H256=""),"⚠ Informe a quantidade","OK"))))</f>
        <v/>
      </c>
    </row>
    <row r="257" customFormat="false" ht="15" hidden="false" customHeight="false" outlineLevel="0" collapsed="false">
      <c r="A257" s="22"/>
      <c r="B257" s="18"/>
      <c r="C257" s="18"/>
      <c r="D257" s="19" t="str">
        <f aca="false">IF($C257="","",IFERROR(INDEX(Estoque!$C$6:$C$45,MATCH($C257,Estoque!$A$6:$A$45,0)),"Código não encontrado"))</f>
        <v/>
      </c>
      <c r="E257" s="19" t="str">
        <f aca="false">IF($C257="","",IFERROR(INDEX(Estoque!$B$6:$B$45,MATCH($C257,Estoque!$A$6:$A$45,0)),"Código não encontrado"))</f>
        <v/>
      </c>
      <c r="F257" s="18"/>
      <c r="G257" s="18"/>
      <c r="H257" s="18"/>
      <c r="I257" s="20" t="str">
        <f aca="false">IF(OR($B257="",$C257=""),"",IF(OR($B257="Retorno de sobra",$B257="Saída de sobra"),IFERROR(VLOOKUP($G257,Listas!$A$2:$B$5,2,FALSE()),0)*IF($H257="",1,$H257),$H257))</f>
        <v/>
      </c>
      <c r="J257" s="21" t="str">
        <f aca="false">IF($C257="","",IF(ISNA(MATCH($C257,Estoque!$A$6:$A$45,0)),"⚠ Código não encontrado",IF(AND(OR($B257="Retorno de sobra",$B257="Saída de sobra"),$G257=""),"⚠ Escolha a medida da sobra",IF(AND(OR($B257="Entrada",$B257="Saída"),$H257=""),"⚠ Informe a quantidade","OK"))))</f>
        <v/>
      </c>
    </row>
    <row r="258" customFormat="false" ht="15" hidden="false" customHeight="false" outlineLevel="0" collapsed="false">
      <c r="A258" s="22"/>
      <c r="B258" s="18"/>
      <c r="C258" s="18"/>
      <c r="D258" s="19" t="str">
        <f aca="false">IF($C258="","",IFERROR(INDEX(Estoque!$C$6:$C$45,MATCH($C258,Estoque!$A$6:$A$45,0)),"Código não encontrado"))</f>
        <v/>
      </c>
      <c r="E258" s="19" t="str">
        <f aca="false">IF($C258="","",IFERROR(INDEX(Estoque!$B$6:$B$45,MATCH($C258,Estoque!$A$6:$A$45,0)),"Código não encontrado"))</f>
        <v/>
      </c>
      <c r="F258" s="18"/>
      <c r="G258" s="18"/>
      <c r="H258" s="18"/>
      <c r="I258" s="20" t="str">
        <f aca="false">IF(OR($B258="",$C258=""),"",IF(OR($B258="Retorno de sobra",$B258="Saída de sobra"),IFERROR(VLOOKUP($G258,Listas!$A$2:$B$5,2,FALSE()),0)*IF($H258="",1,$H258),$H258))</f>
        <v/>
      </c>
      <c r="J258" s="21" t="str">
        <f aca="false">IF($C258="","",IF(ISNA(MATCH($C258,Estoque!$A$6:$A$45,0)),"⚠ Código não encontrado",IF(AND(OR($B258="Retorno de sobra",$B258="Saída de sobra"),$G258=""),"⚠ Escolha a medida da sobra",IF(AND(OR($B258="Entrada",$B258="Saída"),$H258=""),"⚠ Informe a quantidade","OK"))))</f>
        <v/>
      </c>
    </row>
    <row r="259" customFormat="false" ht="15" hidden="false" customHeight="false" outlineLevel="0" collapsed="false">
      <c r="A259" s="22"/>
      <c r="B259" s="18"/>
      <c r="C259" s="18"/>
      <c r="D259" s="19" t="str">
        <f aca="false">IF($C259="","",IFERROR(INDEX(Estoque!$C$6:$C$45,MATCH($C259,Estoque!$A$6:$A$45,0)),"Código não encontrado"))</f>
        <v/>
      </c>
      <c r="E259" s="19" t="str">
        <f aca="false">IF($C259="","",IFERROR(INDEX(Estoque!$B$6:$B$45,MATCH($C259,Estoque!$A$6:$A$45,0)),"Código não encontrado"))</f>
        <v/>
      </c>
      <c r="F259" s="18"/>
      <c r="G259" s="18"/>
      <c r="H259" s="18"/>
      <c r="I259" s="20" t="str">
        <f aca="false">IF(OR($B259="",$C259=""),"",IF(OR($B259="Retorno de sobra",$B259="Saída de sobra"),IFERROR(VLOOKUP($G259,Listas!$A$2:$B$5,2,FALSE()),0)*IF($H259="",1,$H259),$H259))</f>
        <v/>
      </c>
      <c r="J259" s="21" t="str">
        <f aca="false">IF($C259="","",IF(ISNA(MATCH($C259,Estoque!$A$6:$A$45,0)),"⚠ Código não encontrado",IF(AND(OR($B259="Retorno de sobra",$B259="Saída de sobra"),$G259=""),"⚠ Escolha a medida da sobra",IF(AND(OR($B259="Entrada",$B259="Saída"),$H259=""),"⚠ Informe a quantidade","OK"))))</f>
        <v/>
      </c>
    </row>
    <row r="260" customFormat="false" ht="15" hidden="false" customHeight="false" outlineLevel="0" collapsed="false">
      <c r="A260" s="22"/>
      <c r="B260" s="18"/>
      <c r="C260" s="18"/>
      <c r="D260" s="19" t="str">
        <f aca="false">IF($C260="","",IFERROR(INDEX(Estoque!$C$6:$C$45,MATCH($C260,Estoque!$A$6:$A$45,0)),"Código não encontrado"))</f>
        <v/>
      </c>
      <c r="E260" s="19" t="str">
        <f aca="false">IF($C260="","",IFERROR(INDEX(Estoque!$B$6:$B$45,MATCH($C260,Estoque!$A$6:$A$45,0)),"Código não encontrado"))</f>
        <v/>
      </c>
      <c r="F260" s="18"/>
      <c r="G260" s="18"/>
      <c r="H260" s="18"/>
      <c r="I260" s="20" t="str">
        <f aca="false">IF(OR($B260="",$C260=""),"",IF(OR($B260="Retorno de sobra",$B260="Saída de sobra"),IFERROR(VLOOKUP($G260,Listas!$A$2:$B$5,2,FALSE()),0)*IF($H260="",1,$H260),$H260))</f>
        <v/>
      </c>
      <c r="J260" s="21" t="str">
        <f aca="false">IF($C260="","",IF(ISNA(MATCH($C260,Estoque!$A$6:$A$45,0)),"⚠ Código não encontrado",IF(AND(OR($B260="Retorno de sobra",$B260="Saída de sobra"),$G260=""),"⚠ Escolha a medida da sobra",IF(AND(OR($B260="Entrada",$B260="Saída"),$H260=""),"⚠ Informe a quantidade","OK"))))</f>
        <v/>
      </c>
    </row>
    <row r="261" customFormat="false" ht="15" hidden="false" customHeight="false" outlineLevel="0" collapsed="false">
      <c r="A261" s="22"/>
      <c r="B261" s="18"/>
      <c r="C261" s="18"/>
      <c r="D261" s="19" t="str">
        <f aca="false">IF($C261="","",IFERROR(INDEX(Estoque!$C$6:$C$45,MATCH($C261,Estoque!$A$6:$A$45,0)),"Código não encontrado"))</f>
        <v/>
      </c>
      <c r="E261" s="19" t="str">
        <f aca="false">IF($C261="","",IFERROR(INDEX(Estoque!$B$6:$B$45,MATCH($C261,Estoque!$A$6:$A$45,0)),"Código não encontrado"))</f>
        <v/>
      </c>
      <c r="F261" s="18"/>
      <c r="G261" s="18"/>
      <c r="H261" s="18"/>
      <c r="I261" s="20" t="str">
        <f aca="false">IF(OR($B261="",$C261=""),"",IF(OR($B261="Retorno de sobra",$B261="Saída de sobra"),IFERROR(VLOOKUP($G261,Listas!$A$2:$B$5,2,FALSE()),0)*IF($H261="",1,$H261),$H261))</f>
        <v/>
      </c>
      <c r="J261" s="21" t="str">
        <f aca="false">IF($C261="","",IF(ISNA(MATCH($C261,Estoque!$A$6:$A$45,0)),"⚠ Código não encontrado",IF(AND(OR($B261="Retorno de sobra",$B261="Saída de sobra"),$G261=""),"⚠ Escolha a medida da sobra",IF(AND(OR($B261="Entrada",$B261="Saída"),$H261=""),"⚠ Informe a quantidade","OK"))))</f>
        <v/>
      </c>
    </row>
    <row r="262" customFormat="false" ht="15" hidden="false" customHeight="false" outlineLevel="0" collapsed="false">
      <c r="A262" s="22"/>
      <c r="B262" s="18"/>
      <c r="C262" s="18"/>
      <c r="D262" s="19" t="str">
        <f aca="false">IF($C262="","",IFERROR(INDEX(Estoque!$C$6:$C$45,MATCH($C262,Estoque!$A$6:$A$45,0)),"Código não encontrado"))</f>
        <v/>
      </c>
      <c r="E262" s="19" t="str">
        <f aca="false">IF($C262="","",IFERROR(INDEX(Estoque!$B$6:$B$45,MATCH($C262,Estoque!$A$6:$A$45,0)),"Código não encontrado"))</f>
        <v/>
      </c>
      <c r="F262" s="18"/>
      <c r="G262" s="18"/>
      <c r="H262" s="18"/>
      <c r="I262" s="20" t="str">
        <f aca="false">IF(OR($B262="",$C262=""),"",IF(OR($B262="Retorno de sobra",$B262="Saída de sobra"),IFERROR(VLOOKUP($G262,Listas!$A$2:$B$5,2,FALSE()),0)*IF($H262="",1,$H262),$H262))</f>
        <v/>
      </c>
      <c r="J262" s="21" t="str">
        <f aca="false">IF($C262="","",IF(ISNA(MATCH($C262,Estoque!$A$6:$A$45,0)),"⚠ Código não encontrado",IF(AND(OR($B262="Retorno de sobra",$B262="Saída de sobra"),$G262=""),"⚠ Escolha a medida da sobra",IF(AND(OR($B262="Entrada",$B262="Saída"),$H262=""),"⚠ Informe a quantidade","OK"))))</f>
        <v/>
      </c>
    </row>
    <row r="263" customFormat="false" ht="15" hidden="false" customHeight="false" outlineLevel="0" collapsed="false">
      <c r="A263" s="22"/>
      <c r="B263" s="18"/>
      <c r="C263" s="18"/>
      <c r="D263" s="19" t="str">
        <f aca="false">IF($C263="","",IFERROR(INDEX(Estoque!$C$6:$C$45,MATCH($C263,Estoque!$A$6:$A$45,0)),"Código não encontrado"))</f>
        <v/>
      </c>
      <c r="E263" s="19" t="str">
        <f aca="false">IF($C263="","",IFERROR(INDEX(Estoque!$B$6:$B$45,MATCH($C263,Estoque!$A$6:$A$45,0)),"Código não encontrado"))</f>
        <v/>
      </c>
      <c r="F263" s="18"/>
      <c r="G263" s="18"/>
      <c r="H263" s="18"/>
      <c r="I263" s="20" t="str">
        <f aca="false">IF(OR($B263="",$C263=""),"",IF(OR($B263="Retorno de sobra",$B263="Saída de sobra"),IFERROR(VLOOKUP($G263,Listas!$A$2:$B$5,2,FALSE()),0)*IF($H263="",1,$H263),$H263))</f>
        <v/>
      </c>
      <c r="J263" s="21" t="str">
        <f aca="false">IF($C263="","",IF(ISNA(MATCH($C263,Estoque!$A$6:$A$45,0)),"⚠ Código não encontrado",IF(AND(OR($B263="Retorno de sobra",$B263="Saída de sobra"),$G263=""),"⚠ Escolha a medida da sobra",IF(AND(OR($B263="Entrada",$B263="Saída"),$H263=""),"⚠ Informe a quantidade","OK"))))</f>
        <v/>
      </c>
    </row>
    <row r="264" customFormat="false" ht="15" hidden="false" customHeight="false" outlineLevel="0" collapsed="false">
      <c r="A264" s="22"/>
      <c r="B264" s="18"/>
      <c r="C264" s="18"/>
      <c r="D264" s="19" t="str">
        <f aca="false">IF($C264="","",IFERROR(INDEX(Estoque!$C$6:$C$45,MATCH($C264,Estoque!$A$6:$A$45,0)),"Código não encontrado"))</f>
        <v/>
      </c>
      <c r="E264" s="19" t="str">
        <f aca="false">IF($C264="","",IFERROR(INDEX(Estoque!$B$6:$B$45,MATCH($C264,Estoque!$A$6:$A$45,0)),"Código não encontrado"))</f>
        <v/>
      </c>
      <c r="F264" s="18"/>
      <c r="G264" s="18"/>
      <c r="H264" s="18"/>
      <c r="I264" s="20" t="str">
        <f aca="false">IF(OR($B264="",$C264=""),"",IF(OR($B264="Retorno de sobra",$B264="Saída de sobra"),IFERROR(VLOOKUP($G264,Listas!$A$2:$B$5,2,FALSE()),0)*IF($H264="",1,$H264),$H264))</f>
        <v/>
      </c>
      <c r="J264" s="21" t="str">
        <f aca="false">IF($C264="","",IF(ISNA(MATCH($C264,Estoque!$A$6:$A$45,0)),"⚠ Código não encontrado",IF(AND(OR($B264="Retorno de sobra",$B264="Saída de sobra"),$G264=""),"⚠ Escolha a medida da sobra",IF(AND(OR($B264="Entrada",$B264="Saída"),$H264=""),"⚠ Informe a quantidade","OK"))))</f>
        <v/>
      </c>
    </row>
    <row r="265" customFormat="false" ht="15" hidden="false" customHeight="false" outlineLevel="0" collapsed="false">
      <c r="A265" s="22"/>
      <c r="B265" s="18"/>
      <c r="C265" s="18"/>
      <c r="D265" s="19" t="str">
        <f aca="false">IF($C265="","",IFERROR(INDEX(Estoque!$C$6:$C$45,MATCH($C265,Estoque!$A$6:$A$45,0)),"Código não encontrado"))</f>
        <v/>
      </c>
      <c r="E265" s="19" t="str">
        <f aca="false">IF($C265="","",IFERROR(INDEX(Estoque!$B$6:$B$45,MATCH($C265,Estoque!$A$6:$A$45,0)),"Código não encontrado"))</f>
        <v/>
      </c>
      <c r="F265" s="18"/>
      <c r="G265" s="18"/>
      <c r="H265" s="18"/>
      <c r="I265" s="20" t="str">
        <f aca="false">IF(OR($B265="",$C265=""),"",IF(OR($B265="Retorno de sobra",$B265="Saída de sobra"),IFERROR(VLOOKUP($G265,Listas!$A$2:$B$5,2,FALSE()),0)*IF($H265="",1,$H265),$H265))</f>
        <v/>
      </c>
      <c r="J265" s="21" t="str">
        <f aca="false">IF($C265="","",IF(ISNA(MATCH($C265,Estoque!$A$6:$A$45,0)),"⚠ Código não encontrado",IF(AND(OR($B265="Retorno de sobra",$B265="Saída de sobra"),$G265=""),"⚠ Escolha a medida da sobra",IF(AND(OR($B265="Entrada",$B265="Saída"),$H265=""),"⚠ Informe a quantidade","OK"))))</f>
        <v/>
      </c>
    </row>
    <row r="266" customFormat="false" ht="15" hidden="false" customHeight="false" outlineLevel="0" collapsed="false">
      <c r="A266" s="22"/>
      <c r="B266" s="18"/>
      <c r="C266" s="18"/>
      <c r="D266" s="19" t="str">
        <f aca="false">IF($C266="","",IFERROR(INDEX(Estoque!$C$6:$C$45,MATCH($C266,Estoque!$A$6:$A$45,0)),"Código não encontrado"))</f>
        <v/>
      </c>
      <c r="E266" s="19" t="str">
        <f aca="false">IF($C266="","",IFERROR(INDEX(Estoque!$B$6:$B$45,MATCH($C266,Estoque!$A$6:$A$45,0)),"Código não encontrado"))</f>
        <v/>
      </c>
      <c r="F266" s="18"/>
      <c r="G266" s="18"/>
      <c r="H266" s="18"/>
      <c r="I266" s="20" t="str">
        <f aca="false">IF(OR($B266="",$C266=""),"",IF(OR($B266="Retorno de sobra",$B266="Saída de sobra"),IFERROR(VLOOKUP($G266,Listas!$A$2:$B$5,2,FALSE()),0)*IF($H266="",1,$H266),$H266))</f>
        <v/>
      </c>
      <c r="J266" s="21" t="str">
        <f aca="false">IF($C266="","",IF(ISNA(MATCH($C266,Estoque!$A$6:$A$45,0)),"⚠ Código não encontrado",IF(AND(OR($B266="Retorno de sobra",$B266="Saída de sobra"),$G266=""),"⚠ Escolha a medida da sobra",IF(AND(OR($B266="Entrada",$B266="Saída"),$H266=""),"⚠ Informe a quantidade","OK"))))</f>
        <v/>
      </c>
    </row>
    <row r="267" customFormat="false" ht="15" hidden="false" customHeight="false" outlineLevel="0" collapsed="false">
      <c r="A267" s="22"/>
      <c r="B267" s="18"/>
      <c r="C267" s="18"/>
      <c r="D267" s="19" t="str">
        <f aca="false">IF($C267="","",IFERROR(INDEX(Estoque!$C$6:$C$45,MATCH($C267,Estoque!$A$6:$A$45,0)),"Código não encontrado"))</f>
        <v/>
      </c>
      <c r="E267" s="19" t="str">
        <f aca="false">IF($C267="","",IFERROR(INDEX(Estoque!$B$6:$B$45,MATCH($C267,Estoque!$A$6:$A$45,0)),"Código não encontrado"))</f>
        <v/>
      </c>
      <c r="F267" s="18"/>
      <c r="G267" s="18"/>
      <c r="H267" s="18"/>
      <c r="I267" s="20" t="str">
        <f aca="false">IF(OR($B267="",$C267=""),"",IF(OR($B267="Retorno de sobra",$B267="Saída de sobra"),IFERROR(VLOOKUP($G267,Listas!$A$2:$B$5,2,FALSE()),0)*IF($H267="",1,$H267),$H267))</f>
        <v/>
      </c>
      <c r="J267" s="21" t="str">
        <f aca="false">IF($C267="","",IF(ISNA(MATCH($C267,Estoque!$A$6:$A$45,0)),"⚠ Código não encontrado",IF(AND(OR($B267="Retorno de sobra",$B267="Saída de sobra"),$G267=""),"⚠ Escolha a medida da sobra",IF(AND(OR($B267="Entrada",$B267="Saída"),$H267=""),"⚠ Informe a quantidade","OK"))))</f>
        <v/>
      </c>
    </row>
    <row r="268" customFormat="false" ht="15" hidden="false" customHeight="false" outlineLevel="0" collapsed="false">
      <c r="A268" s="22"/>
      <c r="B268" s="18"/>
      <c r="C268" s="18"/>
      <c r="D268" s="19" t="str">
        <f aca="false">IF($C268="","",IFERROR(INDEX(Estoque!$C$6:$C$45,MATCH($C268,Estoque!$A$6:$A$45,0)),"Código não encontrado"))</f>
        <v/>
      </c>
      <c r="E268" s="19" t="str">
        <f aca="false">IF($C268="","",IFERROR(INDEX(Estoque!$B$6:$B$45,MATCH($C268,Estoque!$A$6:$A$45,0)),"Código não encontrado"))</f>
        <v/>
      </c>
      <c r="F268" s="18"/>
      <c r="G268" s="18"/>
      <c r="H268" s="18"/>
      <c r="I268" s="20" t="str">
        <f aca="false">IF(OR($B268="",$C268=""),"",IF(OR($B268="Retorno de sobra",$B268="Saída de sobra"),IFERROR(VLOOKUP($G268,Listas!$A$2:$B$5,2,FALSE()),0)*IF($H268="",1,$H268),$H268))</f>
        <v/>
      </c>
      <c r="J268" s="21" t="str">
        <f aca="false">IF($C268="","",IF(ISNA(MATCH($C268,Estoque!$A$6:$A$45,0)),"⚠ Código não encontrado",IF(AND(OR($B268="Retorno de sobra",$B268="Saída de sobra"),$G268=""),"⚠ Escolha a medida da sobra",IF(AND(OR($B268="Entrada",$B268="Saída"),$H268=""),"⚠ Informe a quantidade","OK"))))</f>
        <v/>
      </c>
    </row>
    <row r="269" customFormat="false" ht="15" hidden="false" customHeight="false" outlineLevel="0" collapsed="false">
      <c r="A269" s="22"/>
      <c r="B269" s="18"/>
      <c r="C269" s="18"/>
      <c r="D269" s="19" t="str">
        <f aca="false">IF($C269="","",IFERROR(INDEX(Estoque!$C$6:$C$45,MATCH($C269,Estoque!$A$6:$A$45,0)),"Código não encontrado"))</f>
        <v/>
      </c>
      <c r="E269" s="19" t="str">
        <f aca="false">IF($C269="","",IFERROR(INDEX(Estoque!$B$6:$B$45,MATCH($C269,Estoque!$A$6:$A$45,0)),"Código não encontrado"))</f>
        <v/>
      </c>
      <c r="F269" s="18"/>
      <c r="G269" s="18"/>
      <c r="H269" s="18"/>
      <c r="I269" s="20" t="str">
        <f aca="false">IF(OR($B269="",$C269=""),"",IF(OR($B269="Retorno de sobra",$B269="Saída de sobra"),IFERROR(VLOOKUP($G269,Listas!$A$2:$B$5,2,FALSE()),0)*IF($H269="",1,$H269),$H269))</f>
        <v/>
      </c>
      <c r="J269" s="21" t="str">
        <f aca="false">IF($C269="","",IF(ISNA(MATCH($C269,Estoque!$A$6:$A$45,0)),"⚠ Código não encontrado",IF(AND(OR($B269="Retorno de sobra",$B269="Saída de sobra"),$G269=""),"⚠ Escolha a medida da sobra",IF(AND(OR($B269="Entrada",$B269="Saída"),$H269=""),"⚠ Informe a quantidade","OK"))))</f>
        <v/>
      </c>
    </row>
    <row r="270" customFormat="false" ht="15" hidden="false" customHeight="false" outlineLevel="0" collapsed="false">
      <c r="A270" s="22"/>
      <c r="B270" s="18"/>
      <c r="C270" s="18"/>
      <c r="D270" s="19" t="str">
        <f aca="false">IF($C270="","",IFERROR(INDEX(Estoque!$C$6:$C$45,MATCH($C270,Estoque!$A$6:$A$45,0)),"Código não encontrado"))</f>
        <v/>
      </c>
      <c r="E270" s="19" t="str">
        <f aca="false">IF($C270="","",IFERROR(INDEX(Estoque!$B$6:$B$45,MATCH($C270,Estoque!$A$6:$A$45,0)),"Código não encontrado"))</f>
        <v/>
      </c>
      <c r="F270" s="18"/>
      <c r="G270" s="18"/>
      <c r="H270" s="18"/>
      <c r="I270" s="20" t="str">
        <f aca="false">IF(OR($B270="",$C270=""),"",IF(OR($B270="Retorno de sobra",$B270="Saída de sobra"),IFERROR(VLOOKUP($G270,Listas!$A$2:$B$5,2,FALSE()),0)*IF($H270="",1,$H270),$H270))</f>
        <v/>
      </c>
      <c r="J270" s="21" t="str">
        <f aca="false">IF($C270="","",IF(ISNA(MATCH($C270,Estoque!$A$6:$A$45,0)),"⚠ Código não encontrado",IF(AND(OR($B270="Retorno de sobra",$B270="Saída de sobra"),$G270=""),"⚠ Escolha a medida da sobra",IF(AND(OR($B270="Entrada",$B270="Saída"),$H270=""),"⚠ Informe a quantidade","OK"))))</f>
        <v/>
      </c>
    </row>
    <row r="271" customFormat="false" ht="15" hidden="false" customHeight="false" outlineLevel="0" collapsed="false">
      <c r="A271" s="22"/>
      <c r="B271" s="18"/>
      <c r="C271" s="18"/>
      <c r="D271" s="19" t="str">
        <f aca="false">IF($C271="","",IFERROR(INDEX(Estoque!$C$6:$C$45,MATCH($C271,Estoque!$A$6:$A$45,0)),"Código não encontrado"))</f>
        <v/>
      </c>
      <c r="E271" s="19" t="str">
        <f aca="false">IF($C271="","",IFERROR(INDEX(Estoque!$B$6:$B$45,MATCH($C271,Estoque!$A$6:$A$45,0)),"Código não encontrado"))</f>
        <v/>
      </c>
      <c r="F271" s="18"/>
      <c r="G271" s="18"/>
      <c r="H271" s="18"/>
      <c r="I271" s="20" t="str">
        <f aca="false">IF(OR($B271="",$C271=""),"",IF(OR($B271="Retorno de sobra",$B271="Saída de sobra"),IFERROR(VLOOKUP($G271,Listas!$A$2:$B$5,2,FALSE()),0)*IF($H271="",1,$H271),$H271))</f>
        <v/>
      </c>
      <c r="J271" s="21" t="str">
        <f aca="false">IF($C271="","",IF(ISNA(MATCH($C271,Estoque!$A$6:$A$45,0)),"⚠ Código não encontrado",IF(AND(OR($B271="Retorno de sobra",$B271="Saída de sobra"),$G271=""),"⚠ Escolha a medida da sobra",IF(AND(OR($B271="Entrada",$B271="Saída"),$H271=""),"⚠ Informe a quantidade","OK"))))</f>
        <v/>
      </c>
    </row>
    <row r="272" customFormat="false" ht="15" hidden="false" customHeight="false" outlineLevel="0" collapsed="false">
      <c r="A272" s="22"/>
      <c r="B272" s="18"/>
      <c r="C272" s="18"/>
      <c r="D272" s="19" t="str">
        <f aca="false">IF($C272="","",IFERROR(INDEX(Estoque!$C$6:$C$45,MATCH($C272,Estoque!$A$6:$A$45,0)),"Código não encontrado"))</f>
        <v/>
      </c>
      <c r="E272" s="19" t="str">
        <f aca="false">IF($C272="","",IFERROR(INDEX(Estoque!$B$6:$B$45,MATCH($C272,Estoque!$A$6:$A$45,0)),"Código não encontrado"))</f>
        <v/>
      </c>
      <c r="F272" s="18"/>
      <c r="G272" s="18"/>
      <c r="H272" s="18"/>
      <c r="I272" s="20" t="str">
        <f aca="false">IF(OR($B272="",$C272=""),"",IF(OR($B272="Retorno de sobra",$B272="Saída de sobra"),IFERROR(VLOOKUP($G272,Listas!$A$2:$B$5,2,FALSE()),0)*IF($H272="",1,$H272),$H272))</f>
        <v/>
      </c>
      <c r="J272" s="21" t="str">
        <f aca="false">IF($C272="","",IF(ISNA(MATCH($C272,Estoque!$A$6:$A$45,0)),"⚠ Código não encontrado",IF(AND(OR($B272="Retorno de sobra",$B272="Saída de sobra"),$G272=""),"⚠ Escolha a medida da sobra",IF(AND(OR($B272="Entrada",$B272="Saída"),$H272=""),"⚠ Informe a quantidade","OK"))))</f>
        <v/>
      </c>
    </row>
    <row r="273" customFormat="false" ht="15" hidden="false" customHeight="false" outlineLevel="0" collapsed="false">
      <c r="A273" s="22"/>
      <c r="B273" s="18"/>
      <c r="C273" s="18"/>
      <c r="D273" s="19" t="str">
        <f aca="false">IF($C273="","",IFERROR(INDEX(Estoque!$C$6:$C$45,MATCH($C273,Estoque!$A$6:$A$45,0)),"Código não encontrado"))</f>
        <v/>
      </c>
      <c r="E273" s="19" t="str">
        <f aca="false">IF($C273="","",IFERROR(INDEX(Estoque!$B$6:$B$45,MATCH($C273,Estoque!$A$6:$A$45,0)),"Código não encontrado"))</f>
        <v/>
      </c>
      <c r="F273" s="18"/>
      <c r="G273" s="18"/>
      <c r="H273" s="18"/>
      <c r="I273" s="20" t="str">
        <f aca="false">IF(OR($B273="",$C273=""),"",IF(OR($B273="Retorno de sobra",$B273="Saída de sobra"),IFERROR(VLOOKUP($G273,Listas!$A$2:$B$5,2,FALSE()),0)*IF($H273="",1,$H273),$H273))</f>
        <v/>
      </c>
      <c r="J273" s="21" t="str">
        <f aca="false">IF($C273="","",IF(ISNA(MATCH($C273,Estoque!$A$6:$A$45,0)),"⚠ Código não encontrado",IF(AND(OR($B273="Retorno de sobra",$B273="Saída de sobra"),$G273=""),"⚠ Escolha a medida da sobra",IF(AND(OR($B273="Entrada",$B273="Saída"),$H273=""),"⚠ Informe a quantidade","OK"))))</f>
        <v/>
      </c>
    </row>
    <row r="274" customFormat="false" ht="15" hidden="false" customHeight="false" outlineLevel="0" collapsed="false">
      <c r="A274" s="22"/>
      <c r="B274" s="18"/>
      <c r="C274" s="18"/>
      <c r="D274" s="19" t="str">
        <f aca="false">IF($C274="","",IFERROR(INDEX(Estoque!$C$6:$C$45,MATCH($C274,Estoque!$A$6:$A$45,0)),"Código não encontrado"))</f>
        <v/>
      </c>
      <c r="E274" s="19" t="str">
        <f aca="false">IF($C274="","",IFERROR(INDEX(Estoque!$B$6:$B$45,MATCH($C274,Estoque!$A$6:$A$45,0)),"Código não encontrado"))</f>
        <v/>
      </c>
      <c r="F274" s="18"/>
      <c r="G274" s="18"/>
      <c r="H274" s="18"/>
      <c r="I274" s="20" t="str">
        <f aca="false">IF(OR($B274="",$C274=""),"",IF(OR($B274="Retorno de sobra",$B274="Saída de sobra"),IFERROR(VLOOKUP($G274,Listas!$A$2:$B$5,2,FALSE()),0)*IF($H274="",1,$H274),$H274))</f>
        <v/>
      </c>
      <c r="J274" s="21" t="str">
        <f aca="false">IF($C274="","",IF(ISNA(MATCH($C274,Estoque!$A$6:$A$45,0)),"⚠ Código não encontrado",IF(AND(OR($B274="Retorno de sobra",$B274="Saída de sobra"),$G274=""),"⚠ Escolha a medida da sobra",IF(AND(OR($B274="Entrada",$B274="Saída"),$H274=""),"⚠ Informe a quantidade","OK"))))</f>
        <v/>
      </c>
    </row>
    <row r="275" customFormat="false" ht="15" hidden="false" customHeight="false" outlineLevel="0" collapsed="false">
      <c r="A275" s="22"/>
      <c r="B275" s="18"/>
      <c r="C275" s="18"/>
      <c r="D275" s="19" t="str">
        <f aca="false">IF($C275="","",IFERROR(INDEX(Estoque!$C$6:$C$45,MATCH($C275,Estoque!$A$6:$A$45,0)),"Código não encontrado"))</f>
        <v/>
      </c>
      <c r="E275" s="19" t="str">
        <f aca="false">IF($C275="","",IFERROR(INDEX(Estoque!$B$6:$B$45,MATCH($C275,Estoque!$A$6:$A$45,0)),"Código não encontrado"))</f>
        <v/>
      </c>
      <c r="F275" s="18"/>
      <c r="G275" s="18"/>
      <c r="H275" s="18"/>
      <c r="I275" s="20" t="str">
        <f aca="false">IF(OR($B275="",$C275=""),"",IF(OR($B275="Retorno de sobra",$B275="Saída de sobra"),IFERROR(VLOOKUP($G275,Listas!$A$2:$B$5,2,FALSE()),0)*IF($H275="",1,$H275),$H275))</f>
        <v/>
      </c>
      <c r="J275" s="21" t="str">
        <f aca="false">IF($C275="","",IF(ISNA(MATCH($C275,Estoque!$A$6:$A$45,0)),"⚠ Código não encontrado",IF(AND(OR($B275="Retorno de sobra",$B275="Saída de sobra"),$G275=""),"⚠ Escolha a medida da sobra",IF(AND(OR($B275="Entrada",$B275="Saída"),$H275=""),"⚠ Informe a quantidade","OK"))))</f>
        <v/>
      </c>
    </row>
    <row r="276" customFormat="false" ht="15" hidden="false" customHeight="false" outlineLevel="0" collapsed="false">
      <c r="A276" s="22"/>
      <c r="B276" s="18"/>
      <c r="C276" s="18"/>
      <c r="D276" s="19" t="str">
        <f aca="false">IF($C276="","",IFERROR(INDEX(Estoque!$C$6:$C$45,MATCH($C276,Estoque!$A$6:$A$45,0)),"Código não encontrado"))</f>
        <v/>
      </c>
      <c r="E276" s="19" t="str">
        <f aca="false">IF($C276="","",IFERROR(INDEX(Estoque!$B$6:$B$45,MATCH($C276,Estoque!$A$6:$A$45,0)),"Código não encontrado"))</f>
        <v/>
      </c>
      <c r="F276" s="18"/>
      <c r="G276" s="18"/>
      <c r="H276" s="18"/>
      <c r="I276" s="20" t="str">
        <f aca="false">IF(OR($B276="",$C276=""),"",IF(OR($B276="Retorno de sobra",$B276="Saída de sobra"),IFERROR(VLOOKUP($G276,Listas!$A$2:$B$5,2,FALSE()),0)*IF($H276="",1,$H276),$H276))</f>
        <v/>
      </c>
      <c r="J276" s="21" t="str">
        <f aca="false">IF($C276="","",IF(ISNA(MATCH($C276,Estoque!$A$6:$A$45,0)),"⚠ Código não encontrado",IF(AND(OR($B276="Retorno de sobra",$B276="Saída de sobra"),$G276=""),"⚠ Escolha a medida da sobra",IF(AND(OR($B276="Entrada",$B276="Saída"),$H276=""),"⚠ Informe a quantidade","OK"))))</f>
        <v/>
      </c>
    </row>
    <row r="277" customFormat="false" ht="15" hidden="false" customHeight="false" outlineLevel="0" collapsed="false">
      <c r="A277" s="22"/>
      <c r="B277" s="18"/>
      <c r="C277" s="18"/>
      <c r="D277" s="19" t="str">
        <f aca="false">IF($C277="","",IFERROR(INDEX(Estoque!$C$6:$C$45,MATCH($C277,Estoque!$A$6:$A$45,0)),"Código não encontrado"))</f>
        <v/>
      </c>
      <c r="E277" s="19" t="str">
        <f aca="false">IF($C277="","",IFERROR(INDEX(Estoque!$B$6:$B$45,MATCH($C277,Estoque!$A$6:$A$45,0)),"Código não encontrado"))</f>
        <v/>
      </c>
      <c r="F277" s="18"/>
      <c r="G277" s="18"/>
      <c r="H277" s="18"/>
      <c r="I277" s="20" t="str">
        <f aca="false">IF(OR($B277="",$C277=""),"",IF(OR($B277="Retorno de sobra",$B277="Saída de sobra"),IFERROR(VLOOKUP($G277,Listas!$A$2:$B$5,2,FALSE()),0)*IF($H277="",1,$H277),$H277))</f>
        <v/>
      </c>
      <c r="J277" s="21" t="str">
        <f aca="false">IF($C277="","",IF(ISNA(MATCH($C277,Estoque!$A$6:$A$45,0)),"⚠ Código não encontrado",IF(AND(OR($B277="Retorno de sobra",$B277="Saída de sobra"),$G277=""),"⚠ Escolha a medida da sobra",IF(AND(OR($B277="Entrada",$B277="Saída"),$H277=""),"⚠ Informe a quantidade","OK"))))</f>
        <v/>
      </c>
    </row>
    <row r="278" customFormat="false" ht="15" hidden="false" customHeight="false" outlineLevel="0" collapsed="false">
      <c r="A278" s="22"/>
      <c r="B278" s="18"/>
      <c r="C278" s="18"/>
      <c r="D278" s="19" t="str">
        <f aca="false">IF($C278="","",IFERROR(INDEX(Estoque!$C$6:$C$45,MATCH($C278,Estoque!$A$6:$A$45,0)),"Código não encontrado"))</f>
        <v/>
      </c>
      <c r="E278" s="19" t="str">
        <f aca="false">IF($C278="","",IFERROR(INDEX(Estoque!$B$6:$B$45,MATCH($C278,Estoque!$A$6:$A$45,0)),"Código não encontrado"))</f>
        <v/>
      </c>
      <c r="F278" s="18"/>
      <c r="G278" s="18"/>
      <c r="H278" s="18"/>
      <c r="I278" s="20" t="str">
        <f aca="false">IF(OR($B278="",$C278=""),"",IF(OR($B278="Retorno de sobra",$B278="Saída de sobra"),IFERROR(VLOOKUP($G278,Listas!$A$2:$B$5,2,FALSE()),0)*IF($H278="",1,$H278),$H278))</f>
        <v/>
      </c>
      <c r="J278" s="21" t="str">
        <f aca="false">IF($C278="","",IF(ISNA(MATCH($C278,Estoque!$A$6:$A$45,0)),"⚠ Código não encontrado",IF(AND(OR($B278="Retorno de sobra",$B278="Saída de sobra"),$G278=""),"⚠ Escolha a medida da sobra",IF(AND(OR($B278="Entrada",$B278="Saída"),$H278=""),"⚠ Informe a quantidade","OK"))))</f>
        <v/>
      </c>
    </row>
    <row r="279" customFormat="false" ht="15" hidden="false" customHeight="false" outlineLevel="0" collapsed="false">
      <c r="A279" s="22"/>
      <c r="B279" s="18"/>
      <c r="C279" s="18"/>
      <c r="D279" s="19" t="str">
        <f aca="false">IF($C279="","",IFERROR(INDEX(Estoque!$C$6:$C$45,MATCH($C279,Estoque!$A$6:$A$45,0)),"Código não encontrado"))</f>
        <v/>
      </c>
      <c r="E279" s="19" t="str">
        <f aca="false">IF($C279="","",IFERROR(INDEX(Estoque!$B$6:$B$45,MATCH($C279,Estoque!$A$6:$A$45,0)),"Código não encontrado"))</f>
        <v/>
      </c>
      <c r="F279" s="18"/>
      <c r="G279" s="18"/>
      <c r="H279" s="18"/>
      <c r="I279" s="20" t="str">
        <f aca="false">IF(OR($B279="",$C279=""),"",IF(OR($B279="Retorno de sobra",$B279="Saída de sobra"),IFERROR(VLOOKUP($G279,Listas!$A$2:$B$5,2,FALSE()),0)*IF($H279="",1,$H279),$H279))</f>
        <v/>
      </c>
      <c r="J279" s="21" t="str">
        <f aca="false">IF($C279="","",IF(ISNA(MATCH($C279,Estoque!$A$6:$A$45,0)),"⚠ Código não encontrado",IF(AND(OR($B279="Retorno de sobra",$B279="Saída de sobra"),$G279=""),"⚠ Escolha a medida da sobra",IF(AND(OR($B279="Entrada",$B279="Saída"),$H279=""),"⚠ Informe a quantidade","OK"))))</f>
        <v/>
      </c>
    </row>
    <row r="280" customFormat="false" ht="15" hidden="false" customHeight="false" outlineLevel="0" collapsed="false">
      <c r="A280" s="22"/>
      <c r="B280" s="18"/>
      <c r="C280" s="18"/>
      <c r="D280" s="19" t="str">
        <f aca="false">IF($C280="","",IFERROR(INDEX(Estoque!$C$6:$C$45,MATCH($C280,Estoque!$A$6:$A$45,0)),"Código não encontrado"))</f>
        <v/>
      </c>
      <c r="E280" s="19" t="str">
        <f aca="false">IF($C280="","",IFERROR(INDEX(Estoque!$B$6:$B$45,MATCH($C280,Estoque!$A$6:$A$45,0)),"Código não encontrado"))</f>
        <v/>
      </c>
      <c r="F280" s="18"/>
      <c r="G280" s="18"/>
      <c r="H280" s="18"/>
      <c r="I280" s="20" t="str">
        <f aca="false">IF(OR($B280="",$C280=""),"",IF(OR($B280="Retorno de sobra",$B280="Saída de sobra"),IFERROR(VLOOKUP($G280,Listas!$A$2:$B$5,2,FALSE()),0)*IF($H280="",1,$H280),$H280))</f>
        <v/>
      </c>
      <c r="J280" s="21" t="str">
        <f aca="false">IF($C280="","",IF(ISNA(MATCH($C280,Estoque!$A$6:$A$45,0)),"⚠ Código não encontrado",IF(AND(OR($B280="Retorno de sobra",$B280="Saída de sobra"),$G280=""),"⚠ Escolha a medida da sobra",IF(AND(OR($B280="Entrada",$B280="Saída"),$H280=""),"⚠ Informe a quantidade","OK"))))</f>
        <v/>
      </c>
    </row>
    <row r="281" customFormat="false" ht="15" hidden="false" customHeight="false" outlineLevel="0" collapsed="false">
      <c r="A281" s="22"/>
      <c r="B281" s="18"/>
      <c r="C281" s="18"/>
      <c r="D281" s="19" t="str">
        <f aca="false">IF($C281="","",IFERROR(INDEX(Estoque!$C$6:$C$45,MATCH($C281,Estoque!$A$6:$A$45,0)),"Código não encontrado"))</f>
        <v/>
      </c>
      <c r="E281" s="19" t="str">
        <f aca="false">IF($C281="","",IFERROR(INDEX(Estoque!$B$6:$B$45,MATCH($C281,Estoque!$A$6:$A$45,0)),"Código não encontrado"))</f>
        <v/>
      </c>
      <c r="F281" s="18"/>
      <c r="G281" s="18"/>
      <c r="H281" s="18"/>
      <c r="I281" s="20" t="str">
        <f aca="false">IF(OR($B281="",$C281=""),"",IF(OR($B281="Retorno de sobra",$B281="Saída de sobra"),IFERROR(VLOOKUP($G281,Listas!$A$2:$B$5,2,FALSE()),0)*IF($H281="",1,$H281),$H281))</f>
        <v/>
      </c>
      <c r="J281" s="21" t="str">
        <f aca="false">IF($C281="","",IF(ISNA(MATCH($C281,Estoque!$A$6:$A$45,0)),"⚠ Código não encontrado",IF(AND(OR($B281="Retorno de sobra",$B281="Saída de sobra"),$G281=""),"⚠ Escolha a medida da sobra",IF(AND(OR($B281="Entrada",$B281="Saída"),$H281=""),"⚠ Informe a quantidade","OK"))))</f>
        <v/>
      </c>
    </row>
    <row r="282" customFormat="false" ht="15" hidden="false" customHeight="false" outlineLevel="0" collapsed="false">
      <c r="A282" s="22"/>
      <c r="B282" s="18"/>
      <c r="C282" s="18"/>
      <c r="D282" s="19" t="str">
        <f aca="false">IF($C282="","",IFERROR(INDEX(Estoque!$C$6:$C$45,MATCH($C282,Estoque!$A$6:$A$45,0)),"Código não encontrado"))</f>
        <v/>
      </c>
      <c r="E282" s="19" t="str">
        <f aca="false">IF($C282="","",IFERROR(INDEX(Estoque!$B$6:$B$45,MATCH($C282,Estoque!$A$6:$A$45,0)),"Código não encontrado"))</f>
        <v/>
      </c>
      <c r="F282" s="18"/>
      <c r="G282" s="18"/>
      <c r="H282" s="18"/>
      <c r="I282" s="20" t="str">
        <f aca="false">IF(OR($B282="",$C282=""),"",IF(OR($B282="Retorno de sobra",$B282="Saída de sobra"),IFERROR(VLOOKUP($G282,Listas!$A$2:$B$5,2,FALSE()),0)*IF($H282="",1,$H282),$H282))</f>
        <v/>
      </c>
      <c r="J282" s="21" t="str">
        <f aca="false">IF($C282="","",IF(ISNA(MATCH($C282,Estoque!$A$6:$A$45,0)),"⚠ Código não encontrado",IF(AND(OR($B282="Retorno de sobra",$B282="Saída de sobra"),$G282=""),"⚠ Escolha a medida da sobra",IF(AND(OR($B282="Entrada",$B282="Saída"),$H282=""),"⚠ Informe a quantidade","OK"))))</f>
        <v/>
      </c>
    </row>
    <row r="283" customFormat="false" ht="15" hidden="false" customHeight="false" outlineLevel="0" collapsed="false">
      <c r="A283" s="22"/>
      <c r="B283" s="18"/>
      <c r="C283" s="18"/>
      <c r="D283" s="19" t="str">
        <f aca="false">IF($C283="","",IFERROR(INDEX(Estoque!$C$6:$C$45,MATCH($C283,Estoque!$A$6:$A$45,0)),"Código não encontrado"))</f>
        <v/>
      </c>
      <c r="E283" s="19" t="str">
        <f aca="false">IF($C283="","",IFERROR(INDEX(Estoque!$B$6:$B$45,MATCH($C283,Estoque!$A$6:$A$45,0)),"Código não encontrado"))</f>
        <v/>
      </c>
      <c r="F283" s="18"/>
      <c r="G283" s="18"/>
      <c r="H283" s="18"/>
      <c r="I283" s="20" t="str">
        <f aca="false">IF(OR($B283="",$C283=""),"",IF(OR($B283="Retorno de sobra",$B283="Saída de sobra"),IFERROR(VLOOKUP($G283,Listas!$A$2:$B$5,2,FALSE()),0)*IF($H283="",1,$H283),$H283))</f>
        <v/>
      </c>
      <c r="J283" s="21" t="str">
        <f aca="false">IF($C283="","",IF(ISNA(MATCH($C283,Estoque!$A$6:$A$45,0)),"⚠ Código não encontrado",IF(AND(OR($B283="Retorno de sobra",$B283="Saída de sobra"),$G283=""),"⚠ Escolha a medida da sobra",IF(AND(OR($B283="Entrada",$B283="Saída"),$H283=""),"⚠ Informe a quantidade","OK"))))</f>
        <v/>
      </c>
    </row>
    <row r="284" customFormat="false" ht="15" hidden="false" customHeight="false" outlineLevel="0" collapsed="false">
      <c r="A284" s="22"/>
      <c r="B284" s="18"/>
      <c r="C284" s="18"/>
      <c r="D284" s="19" t="str">
        <f aca="false">IF($C284="","",IFERROR(INDEX(Estoque!$C$6:$C$45,MATCH($C284,Estoque!$A$6:$A$45,0)),"Código não encontrado"))</f>
        <v/>
      </c>
      <c r="E284" s="19" t="str">
        <f aca="false">IF($C284="","",IFERROR(INDEX(Estoque!$B$6:$B$45,MATCH($C284,Estoque!$A$6:$A$45,0)),"Código não encontrado"))</f>
        <v/>
      </c>
      <c r="F284" s="18"/>
      <c r="G284" s="18"/>
      <c r="H284" s="18"/>
      <c r="I284" s="20" t="str">
        <f aca="false">IF(OR($B284="",$C284=""),"",IF(OR($B284="Retorno de sobra",$B284="Saída de sobra"),IFERROR(VLOOKUP($G284,Listas!$A$2:$B$5,2,FALSE()),0)*IF($H284="",1,$H284),$H284))</f>
        <v/>
      </c>
      <c r="J284" s="21" t="str">
        <f aca="false">IF($C284="","",IF(ISNA(MATCH($C284,Estoque!$A$6:$A$45,0)),"⚠ Código não encontrado",IF(AND(OR($B284="Retorno de sobra",$B284="Saída de sobra"),$G284=""),"⚠ Escolha a medida da sobra",IF(AND(OR($B284="Entrada",$B284="Saída"),$H284=""),"⚠ Informe a quantidade","OK"))))</f>
        <v/>
      </c>
    </row>
    <row r="285" customFormat="false" ht="15" hidden="false" customHeight="false" outlineLevel="0" collapsed="false">
      <c r="A285" s="22"/>
      <c r="B285" s="18"/>
      <c r="C285" s="18"/>
      <c r="D285" s="19" t="str">
        <f aca="false">IF($C285="","",IFERROR(INDEX(Estoque!$C$6:$C$45,MATCH($C285,Estoque!$A$6:$A$45,0)),"Código não encontrado"))</f>
        <v/>
      </c>
      <c r="E285" s="19" t="str">
        <f aca="false">IF($C285="","",IFERROR(INDEX(Estoque!$B$6:$B$45,MATCH($C285,Estoque!$A$6:$A$45,0)),"Código não encontrado"))</f>
        <v/>
      </c>
      <c r="F285" s="18"/>
      <c r="G285" s="18"/>
      <c r="H285" s="18"/>
      <c r="I285" s="20" t="str">
        <f aca="false">IF(OR($B285="",$C285=""),"",IF(OR($B285="Retorno de sobra",$B285="Saída de sobra"),IFERROR(VLOOKUP($G285,Listas!$A$2:$B$5,2,FALSE()),0)*IF($H285="",1,$H285),$H285))</f>
        <v/>
      </c>
      <c r="J285" s="21" t="str">
        <f aca="false">IF($C285="","",IF(ISNA(MATCH($C285,Estoque!$A$6:$A$45,0)),"⚠ Código não encontrado",IF(AND(OR($B285="Retorno de sobra",$B285="Saída de sobra"),$G285=""),"⚠ Escolha a medida da sobra",IF(AND(OR($B285="Entrada",$B285="Saída"),$H285=""),"⚠ Informe a quantidade","OK"))))</f>
        <v/>
      </c>
    </row>
    <row r="286" customFormat="false" ht="15" hidden="false" customHeight="false" outlineLevel="0" collapsed="false">
      <c r="A286" s="22"/>
      <c r="B286" s="18"/>
      <c r="C286" s="18"/>
      <c r="D286" s="19" t="str">
        <f aca="false">IF($C286="","",IFERROR(INDEX(Estoque!$C$6:$C$45,MATCH($C286,Estoque!$A$6:$A$45,0)),"Código não encontrado"))</f>
        <v/>
      </c>
      <c r="E286" s="19" t="str">
        <f aca="false">IF($C286="","",IFERROR(INDEX(Estoque!$B$6:$B$45,MATCH($C286,Estoque!$A$6:$A$45,0)),"Código não encontrado"))</f>
        <v/>
      </c>
      <c r="F286" s="18"/>
      <c r="G286" s="18"/>
      <c r="H286" s="18"/>
      <c r="I286" s="20" t="str">
        <f aca="false">IF(OR($B286="",$C286=""),"",IF(OR($B286="Retorno de sobra",$B286="Saída de sobra"),IFERROR(VLOOKUP($G286,Listas!$A$2:$B$5,2,FALSE()),0)*IF($H286="",1,$H286),$H286))</f>
        <v/>
      </c>
      <c r="J286" s="21" t="str">
        <f aca="false">IF($C286="","",IF(ISNA(MATCH($C286,Estoque!$A$6:$A$45,0)),"⚠ Código não encontrado",IF(AND(OR($B286="Retorno de sobra",$B286="Saída de sobra"),$G286=""),"⚠ Escolha a medida da sobra",IF(AND(OR($B286="Entrada",$B286="Saída"),$H286=""),"⚠ Informe a quantidade","OK"))))</f>
        <v/>
      </c>
    </row>
    <row r="287" customFormat="false" ht="15" hidden="false" customHeight="false" outlineLevel="0" collapsed="false">
      <c r="A287" s="22"/>
      <c r="B287" s="18"/>
      <c r="C287" s="18"/>
      <c r="D287" s="19" t="str">
        <f aca="false">IF($C287="","",IFERROR(INDEX(Estoque!$C$6:$C$45,MATCH($C287,Estoque!$A$6:$A$45,0)),"Código não encontrado"))</f>
        <v/>
      </c>
      <c r="E287" s="19" t="str">
        <f aca="false">IF($C287="","",IFERROR(INDEX(Estoque!$B$6:$B$45,MATCH($C287,Estoque!$A$6:$A$45,0)),"Código não encontrado"))</f>
        <v/>
      </c>
      <c r="F287" s="18"/>
      <c r="G287" s="18"/>
      <c r="H287" s="18"/>
      <c r="I287" s="20" t="str">
        <f aca="false">IF(OR($B287="",$C287=""),"",IF(OR($B287="Retorno de sobra",$B287="Saída de sobra"),IFERROR(VLOOKUP($G287,Listas!$A$2:$B$5,2,FALSE()),0)*IF($H287="",1,$H287),$H287))</f>
        <v/>
      </c>
      <c r="J287" s="21" t="str">
        <f aca="false">IF($C287="","",IF(ISNA(MATCH($C287,Estoque!$A$6:$A$45,0)),"⚠ Código não encontrado",IF(AND(OR($B287="Retorno de sobra",$B287="Saída de sobra"),$G287=""),"⚠ Escolha a medida da sobra",IF(AND(OR($B287="Entrada",$B287="Saída"),$H287=""),"⚠ Informe a quantidade","OK"))))</f>
        <v/>
      </c>
    </row>
    <row r="288" customFormat="false" ht="15" hidden="false" customHeight="false" outlineLevel="0" collapsed="false">
      <c r="A288" s="22"/>
      <c r="B288" s="18"/>
      <c r="C288" s="18"/>
      <c r="D288" s="19" t="str">
        <f aca="false">IF($C288="","",IFERROR(INDEX(Estoque!$C$6:$C$45,MATCH($C288,Estoque!$A$6:$A$45,0)),"Código não encontrado"))</f>
        <v/>
      </c>
      <c r="E288" s="19" t="str">
        <f aca="false">IF($C288="","",IFERROR(INDEX(Estoque!$B$6:$B$45,MATCH($C288,Estoque!$A$6:$A$45,0)),"Código não encontrado"))</f>
        <v/>
      </c>
      <c r="F288" s="18"/>
      <c r="G288" s="18"/>
      <c r="H288" s="18"/>
      <c r="I288" s="20" t="str">
        <f aca="false">IF(OR($B288="",$C288=""),"",IF(OR($B288="Retorno de sobra",$B288="Saída de sobra"),IFERROR(VLOOKUP($G288,Listas!$A$2:$B$5,2,FALSE()),0)*IF($H288="",1,$H288),$H288))</f>
        <v/>
      </c>
      <c r="J288" s="21" t="str">
        <f aca="false">IF($C288="","",IF(ISNA(MATCH($C288,Estoque!$A$6:$A$45,0)),"⚠ Código não encontrado",IF(AND(OR($B288="Retorno de sobra",$B288="Saída de sobra"),$G288=""),"⚠ Escolha a medida da sobra",IF(AND(OR($B288="Entrada",$B288="Saída"),$H288=""),"⚠ Informe a quantidade","OK"))))</f>
        <v/>
      </c>
    </row>
    <row r="289" customFormat="false" ht="15" hidden="false" customHeight="false" outlineLevel="0" collapsed="false">
      <c r="A289" s="22"/>
      <c r="B289" s="18"/>
      <c r="C289" s="18"/>
      <c r="D289" s="19" t="str">
        <f aca="false">IF($C289="","",IFERROR(INDEX(Estoque!$C$6:$C$45,MATCH($C289,Estoque!$A$6:$A$45,0)),"Código não encontrado"))</f>
        <v/>
      </c>
      <c r="E289" s="19" t="str">
        <f aca="false">IF($C289="","",IFERROR(INDEX(Estoque!$B$6:$B$45,MATCH($C289,Estoque!$A$6:$A$45,0)),"Código não encontrado"))</f>
        <v/>
      </c>
      <c r="F289" s="18"/>
      <c r="G289" s="18"/>
      <c r="H289" s="18"/>
      <c r="I289" s="20" t="str">
        <f aca="false">IF(OR($B289="",$C289=""),"",IF(OR($B289="Retorno de sobra",$B289="Saída de sobra"),IFERROR(VLOOKUP($G289,Listas!$A$2:$B$5,2,FALSE()),0)*IF($H289="",1,$H289),$H289))</f>
        <v/>
      </c>
      <c r="J289" s="21" t="str">
        <f aca="false">IF($C289="","",IF(ISNA(MATCH($C289,Estoque!$A$6:$A$45,0)),"⚠ Código não encontrado",IF(AND(OR($B289="Retorno de sobra",$B289="Saída de sobra"),$G289=""),"⚠ Escolha a medida da sobra",IF(AND(OR($B289="Entrada",$B289="Saída"),$H289=""),"⚠ Informe a quantidade","OK"))))</f>
        <v/>
      </c>
    </row>
    <row r="290" customFormat="false" ht="15" hidden="false" customHeight="false" outlineLevel="0" collapsed="false">
      <c r="A290" s="22"/>
      <c r="B290" s="18"/>
      <c r="C290" s="18"/>
      <c r="D290" s="19" t="str">
        <f aca="false">IF($C290="","",IFERROR(INDEX(Estoque!$C$6:$C$45,MATCH($C290,Estoque!$A$6:$A$45,0)),"Código não encontrado"))</f>
        <v/>
      </c>
      <c r="E290" s="19" t="str">
        <f aca="false">IF($C290="","",IFERROR(INDEX(Estoque!$B$6:$B$45,MATCH($C290,Estoque!$A$6:$A$45,0)),"Código não encontrado"))</f>
        <v/>
      </c>
      <c r="F290" s="18"/>
      <c r="G290" s="18"/>
      <c r="H290" s="18"/>
      <c r="I290" s="20" t="str">
        <f aca="false">IF(OR($B290="",$C290=""),"",IF(OR($B290="Retorno de sobra",$B290="Saída de sobra"),IFERROR(VLOOKUP($G290,Listas!$A$2:$B$5,2,FALSE()),0)*IF($H290="",1,$H290),$H290))</f>
        <v/>
      </c>
      <c r="J290" s="21" t="str">
        <f aca="false">IF($C290="","",IF(ISNA(MATCH($C290,Estoque!$A$6:$A$45,0)),"⚠ Código não encontrado",IF(AND(OR($B290="Retorno de sobra",$B290="Saída de sobra"),$G290=""),"⚠ Escolha a medida da sobra",IF(AND(OR($B290="Entrada",$B290="Saída"),$H290=""),"⚠ Informe a quantidade","OK"))))</f>
        <v/>
      </c>
    </row>
    <row r="291" customFormat="false" ht="15" hidden="false" customHeight="false" outlineLevel="0" collapsed="false">
      <c r="A291" s="22"/>
      <c r="B291" s="18"/>
      <c r="C291" s="18"/>
      <c r="D291" s="19" t="str">
        <f aca="false">IF($C291="","",IFERROR(INDEX(Estoque!$C$6:$C$45,MATCH($C291,Estoque!$A$6:$A$45,0)),"Código não encontrado"))</f>
        <v/>
      </c>
      <c r="E291" s="19" t="str">
        <f aca="false">IF($C291="","",IFERROR(INDEX(Estoque!$B$6:$B$45,MATCH($C291,Estoque!$A$6:$A$45,0)),"Código não encontrado"))</f>
        <v/>
      </c>
      <c r="F291" s="18"/>
      <c r="G291" s="18"/>
      <c r="H291" s="18"/>
      <c r="I291" s="20" t="str">
        <f aca="false">IF(OR($B291="",$C291=""),"",IF(OR($B291="Retorno de sobra",$B291="Saída de sobra"),IFERROR(VLOOKUP($G291,Listas!$A$2:$B$5,2,FALSE()),0)*IF($H291="",1,$H291),$H291))</f>
        <v/>
      </c>
      <c r="J291" s="21" t="str">
        <f aca="false">IF($C291="","",IF(ISNA(MATCH($C291,Estoque!$A$6:$A$45,0)),"⚠ Código não encontrado",IF(AND(OR($B291="Retorno de sobra",$B291="Saída de sobra"),$G291=""),"⚠ Escolha a medida da sobra",IF(AND(OR($B291="Entrada",$B291="Saída"),$H291=""),"⚠ Informe a quantidade","OK"))))</f>
        <v/>
      </c>
    </row>
    <row r="292" customFormat="false" ht="15" hidden="false" customHeight="false" outlineLevel="0" collapsed="false">
      <c r="A292" s="22"/>
      <c r="B292" s="18"/>
      <c r="C292" s="18"/>
      <c r="D292" s="19" t="str">
        <f aca="false">IF($C292="","",IFERROR(INDEX(Estoque!$C$6:$C$45,MATCH($C292,Estoque!$A$6:$A$45,0)),"Código não encontrado"))</f>
        <v/>
      </c>
      <c r="E292" s="19" t="str">
        <f aca="false">IF($C292="","",IFERROR(INDEX(Estoque!$B$6:$B$45,MATCH($C292,Estoque!$A$6:$A$45,0)),"Código não encontrado"))</f>
        <v/>
      </c>
      <c r="F292" s="18"/>
      <c r="G292" s="18"/>
      <c r="H292" s="18"/>
      <c r="I292" s="20" t="str">
        <f aca="false">IF(OR($B292="",$C292=""),"",IF(OR($B292="Retorno de sobra",$B292="Saída de sobra"),IFERROR(VLOOKUP($G292,Listas!$A$2:$B$5,2,FALSE()),0)*IF($H292="",1,$H292),$H292))</f>
        <v/>
      </c>
      <c r="J292" s="21" t="str">
        <f aca="false">IF($C292="","",IF(ISNA(MATCH($C292,Estoque!$A$6:$A$45,0)),"⚠ Código não encontrado",IF(AND(OR($B292="Retorno de sobra",$B292="Saída de sobra"),$G292=""),"⚠ Escolha a medida da sobra",IF(AND(OR($B292="Entrada",$B292="Saída"),$H292=""),"⚠ Informe a quantidade","OK"))))</f>
        <v/>
      </c>
    </row>
    <row r="293" customFormat="false" ht="15" hidden="false" customHeight="false" outlineLevel="0" collapsed="false">
      <c r="A293" s="22"/>
      <c r="B293" s="18"/>
      <c r="C293" s="18"/>
      <c r="D293" s="19" t="str">
        <f aca="false">IF($C293="","",IFERROR(INDEX(Estoque!$C$6:$C$45,MATCH($C293,Estoque!$A$6:$A$45,0)),"Código não encontrado"))</f>
        <v/>
      </c>
      <c r="E293" s="19" t="str">
        <f aca="false">IF($C293="","",IFERROR(INDEX(Estoque!$B$6:$B$45,MATCH($C293,Estoque!$A$6:$A$45,0)),"Código não encontrado"))</f>
        <v/>
      </c>
      <c r="F293" s="18"/>
      <c r="G293" s="18"/>
      <c r="H293" s="18"/>
      <c r="I293" s="20" t="str">
        <f aca="false">IF(OR($B293="",$C293=""),"",IF(OR($B293="Retorno de sobra",$B293="Saída de sobra"),IFERROR(VLOOKUP($G293,Listas!$A$2:$B$5,2,FALSE()),0)*IF($H293="",1,$H293),$H293))</f>
        <v/>
      </c>
      <c r="J293" s="21" t="str">
        <f aca="false">IF($C293="","",IF(ISNA(MATCH($C293,Estoque!$A$6:$A$45,0)),"⚠ Código não encontrado",IF(AND(OR($B293="Retorno de sobra",$B293="Saída de sobra"),$G293=""),"⚠ Escolha a medida da sobra",IF(AND(OR($B293="Entrada",$B293="Saída"),$H293=""),"⚠ Informe a quantidade","OK"))))</f>
        <v/>
      </c>
    </row>
    <row r="294" customFormat="false" ht="15" hidden="false" customHeight="false" outlineLevel="0" collapsed="false">
      <c r="A294" s="22"/>
      <c r="B294" s="18"/>
      <c r="C294" s="18"/>
      <c r="D294" s="19" t="str">
        <f aca="false">IF($C294="","",IFERROR(INDEX(Estoque!$C$6:$C$45,MATCH($C294,Estoque!$A$6:$A$45,0)),"Código não encontrado"))</f>
        <v/>
      </c>
      <c r="E294" s="19" t="str">
        <f aca="false">IF($C294="","",IFERROR(INDEX(Estoque!$B$6:$B$45,MATCH($C294,Estoque!$A$6:$A$45,0)),"Código não encontrado"))</f>
        <v/>
      </c>
      <c r="F294" s="18"/>
      <c r="G294" s="18"/>
      <c r="H294" s="18"/>
      <c r="I294" s="20" t="str">
        <f aca="false">IF(OR($B294="",$C294=""),"",IF(OR($B294="Retorno de sobra",$B294="Saída de sobra"),IFERROR(VLOOKUP($G294,Listas!$A$2:$B$5,2,FALSE()),0)*IF($H294="",1,$H294),$H294))</f>
        <v/>
      </c>
      <c r="J294" s="21" t="str">
        <f aca="false">IF($C294="","",IF(ISNA(MATCH($C294,Estoque!$A$6:$A$45,0)),"⚠ Código não encontrado",IF(AND(OR($B294="Retorno de sobra",$B294="Saída de sobra"),$G294=""),"⚠ Escolha a medida da sobra",IF(AND(OR($B294="Entrada",$B294="Saída"),$H294=""),"⚠ Informe a quantidade","OK"))))</f>
        <v/>
      </c>
    </row>
    <row r="295" customFormat="false" ht="15" hidden="false" customHeight="false" outlineLevel="0" collapsed="false">
      <c r="A295" s="22"/>
      <c r="B295" s="18"/>
      <c r="C295" s="18"/>
      <c r="D295" s="19" t="str">
        <f aca="false">IF($C295="","",IFERROR(INDEX(Estoque!$C$6:$C$45,MATCH($C295,Estoque!$A$6:$A$45,0)),"Código não encontrado"))</f>
        <v/>
      </c>
      <c r="E295" s="19" t="str">
        <f aca="false">IF($C295="","",IFERROR(INDEX(Estoque!$B$6:$B$45,MATCH($C295,Estoque!$A$6:$A$45,0)),"Código não encontrado"))</f>
        <v/>
      </c>
      <c r="F295" s="18"/>
      <c r="G295" s="18"/>
      <c r="H295" s="18"/>
      <c r="I295" s="20" t="str">
        <f aca="false">IF(OR($B295="",$C295=""),"",IF(OR($B295="Retorno de sobra",$B295="Saída de sobra"),IFERROR(VLOOKUP($G295,Listas!$A$2:$B$5,2,FALSE()),0)*IF($H295="",1,$H295),$H295))</f>
        <v/>
      </c>
      <c r="J295" s="21" t="str">
        <f aca="false">IF($C295="","",IF(ISNA(MATCH($C295,Estoque!$A$6:$A$45,0)),"⚠ Código não encontrado",IF(AND(OR($B295="Retorno de sobra",$B295="Saída de sobra"),$G295=""),"⚠ Escolha a medida da sobra",IF(AND(OR($B295="Entrada",$B295="Saída"),$H295=""),"⚠ Informe a quantidade","OK"))))</f>
        <v/>
      </c>
    </row>
    <row r="296" customFormat="false" ht="15" hidden="false" customHeight="false" outlineLevel="0" collapsed="false">
      <c r="A296" s="22"/>
      <c r="B296" s="18"/>
      <c r="C296" s="18"/>
      <c r="D296" s="19" t="str">
        <f aca="false">IF($C296="","",IFERROR(INDEX(Estoque!$C$6:$C$45,MATCH($C296,Estoque!$A$6:$A$45,0)),"Código não encontrado"))</f>
        <v/>
      </c>
      <c r="E296" s="19" t="str">
        <f aca="false">IF($C296="","",IFERROR(INDEX(Estoque!$B$6:$B$45,MATCH($C296,Estoque!$A$6:$A$45,0)),"Código não encontrado"))</f>
        <v/>
      </c>
      <c r="F296" s="18"/>
      <c r="G296" s="18"/>
      <c r="H296" s="18"/>
      <c r="I296" s="20" t="str">
        <f aca="false">IF(OR($B296="",$C296=""),"",IF(OR($B296="Retorno de sobra",$B296="Saída de sobra"),IFERROR(VLOOKUP($G296,Listas!$A$2:$B$5,2,FALSE()),0)*IF($H296="",1,$H296),$H296))</f>
        <v/>
      </c>
      <c r="J296" s="21" t="str">
        <f aca="false">IF($C296="","",IF(ISNA(MATCH($C296,Estoque!$A$6:$A$45,0)),"⚠ Código não encontrado",IF(AND(OR($B296="Retorno de sobra",$B296="Saída de sobra"),$G296=""),"⚠ Escolha a medida da sobra",IF(AND(OR($B296="Entrada",$B296="Saída"),$H296=""),"⚠ Informe a quantidade","OK"))))</f>
        <v/>
      </c>
    </row>
    <row r="297" customFormat="false" ht="15" hidden="false" customHeight="false" outlineLevel="0" collapsed="false">
      <c r="A297" s="22"/>
      <c r="B297" s="18"/>
      <c r="C297" s="18"/>
      <c r="D297" s="19" t="str">
        <f aca="false">IF($C297="","",IFERROR(INDEX(Estoque!$C$6:$C$45,MATCH($C297,Estoque!$A$6:$A$45,0)),"Código não encontrado"))</f>
        <v/>
      </c>
      <c r="E297" s="19" t="str">
        <f aca="false">IF($C297="","",IFERROR(INDEX(Estoque!$B$6:$B$45,MATCH($C297,Estoque!$A$6:$A$45,0)),"Código não encontrado"))</f>
        <v/>
      </c>
      <c r="F297" s="18"/>
      <c r="G297" s="18"/>
      <c r="H297" s="18"/>
      <c r="I297" s="20" t="str">
        <f aca="false">IF(OR($B297="",$C297=""),"",IF(OR($B297="Retorno de sobra",$B297="Saída de sobra"),IFERROR(VLOOKUP($G297,Listas!$A$2:$B$5,2,FALSE()),0)*IF($H297="",1,$H297),$H297))</f>
        <v/>
      </c>
      <c r="J297" s="21" t="str">
        <f aca="false">IF($C297="","",IF(ISNA(MATCH($C297,Estoque!$A$6:$A$45,0)),"⚠ Código não encontrado",IF(AND(OR($B297="Retorno de sobra",$B297="Saída de sobra"),$G297=""),"⚠ Escolha a medida da sobra",IF(AND(OR($B297="Entrada",$B297="Saída"),$H297=""),"⚠ Informe a quantidade","OK"))))</f>
        <v/>
      </c>
    </row>
    <row r="298" customFormat="false" ht="15" hidden="false" customHeight="false" outlineLevel="0" collapsed="false">
      <c r="A298" s="22"/>
      <c r="B298" s="18"/>
      <c r="C298" s="18"/>
      <c r="D298" s="19" t="str">
        <f aca="false">IF($C298="","",IFERROR(INDEX(Estoque!$C$6:$C$45,MATCH($C298,Estoque!$A$6:$A$45,0)),"Código não encontrado"))</f>
        <v/>
      </c>
      <c r="E298" s="19" t="str">
        <f aca="false">IF($C298="","",IFERROR(INDEX(Estoque!$B$6:$B$45,MATCH($C298,Estoque!$A$6:$A$45,0)),"Código não encontrado"))</f>
        <v/>
      </c>
      <c r="F298" s="18"/>
      <c r="G298" s="18"/>
      <c r="H298" s="18"/>
      <c r="I298" s="20" t="str">
        <f aca="false">IF(OR($B298="",$C298=""),"",IF(OR($B298="Retorno de sobra",$B298="Saída de sobra"),IFERROR(VLOOKUP($G298,Listas!$A$2:$B$5,2,FALSE()),0)*IF($H298="",1,$H298),$H298))</f>
        <v/>
      </c>
      <c r="J298" s="21" t="str">
        <f aca="false">IF($C298="","",IF(ISNA(MATCH($C298,Estoque!$A$6:$A$45,0)),"⚠ Código não encontrado",IF(AND(OR($B298="Retorno de sobra",$B298="Saída de sobra"),$G298=""),"⚠ Escolha a medida da sobra",IF(AND(OR($B298="Entrada",$B298="Saída"),$H298=""),"⚠ Informe a quantidade","OK"))))</f>
        <v/>
      </c>
    </row>
    <row r="299" customFormat="false" ht="15" hidden="false" customHeight="false" outlineLevel="0" collapsed="false">
      <c r="A299" s="22"/>
      <c r="B299" s="18"/>
      <c r="C299" s="18"/>
      <c r="D299" s="19" t="str">
        <f aca="false">IF($C299="","",IFERROR(INDEX(Estoque!$C$6:$C$45,MATCH($C299,Estoque!$A$6:$A$45,0)),"Código não encontrado"))</f>
        <v/>
      </c>
      <c r="E299" s="19" t="str">
        <f aca="false">IF($C299="","",IFERROR(INDEX(Estoque!$B$6:$B$45,MATCH($C299,Estoque!$A$6:$A$45,0)),"Código não encontrado"))</f>
        <v/>
      </c>
      <c r="F299" s="18"/>
      <c r="G299" s="18"/>
      <c r="H299" s="18"/>
      <c r="I299" s="20" t="str">
        <f aca="false">IF(OR($B299="",$C299=""),"",IF(OR($B299="Retorno de sobra",$B299="Saída de sobra"),IFERROR(VLOOKUP($G299,Listas!$A$2:$B$5,2,FALSE()),0)*IF($H299="",1,$H299),$H299))</f>
        <v/>
      </c>
      <c r="J299" s="21" t="str">
        <f aca="false">IF($C299="","",IF(ISNA(MATCH($C299,Estoque!$A$6:$A$45,0)),"⚠ Código não encontrado",IF(AND(OR($B299="Retorno de sobra",$B299="Saída de sobra"),$G299=""),"⚠ Escolha a medida da sobra",IF(AND(OR($B299="Entrada",$B299="Saída"),$H299=""),"⚠ Informe a quantidade","OK"))))</f>
        <v/>
      </c>
    </row>
    <row r="300" customFormat="false" ht="15" hidden="false" customHeight="false" outlineLevel="0" collapsed="false">
      <c r="A300" s="22"/>
      <c r="B300" s="18"/>
      <c r="C300" s="18"/>
      <c r="D300" s="19" t="str">
        <f aca="false">IF($C300="","",IFERROR(INDEX(Estoque!$C$6:$C$45,MATCH($C300,Estoque!$A$6:$A$45,0)),"Código não encontrado"))</f>
        <v/>
      </c>
      <c r="E300" s="19" t="str">
        <f aca="false">IF($C300="","",IFERROR(INDEX(Estoque!$B$6:$B$45,MATCH($C300,Estoque!$A$6:$A$45,0)),"Código não encontrado"))</f>
        <v/>
      </c>
      <c r="F300" s="18"/>
      <c r="G300" s="18"/>
      <c r="H300" s="18"/>
      <c r="I300" s="20" t="str">
        <f aca="false">IF(OR($B300="",$C300=""),"",IF(OR($B300="Retorno de sobra",$B300="Saída de sobra"),IFERROR(VLOOKUP($G300,Listas!$A$2:$B$5,2,FALSE()),0)*IF($H300="",1,$H300),$H300))</f>
        <v/>
      </c>
      <c r="J300" s="21" t="str">
        <f aca="false">IF($C300="","",IF(ISNA(MATCH($C300,Estoque!$A$6:$A$45,0)),"⚠ Código não encontrado",IF(AND(OR($B300="Retorno de sobra",$B300="Saída de sobra"),$G300=""),"⚠ Escolha a medida da sobra",IF(AND(OR($B300="Entrada",$B300="Saída"),$H300=""),"⚠ Informe a quantidade","OK"))))</f>
        <v/>
      </c>
    </row>
    <row r="301" customFormat="false" ht="15" hidden="false" customHeight="false" outlineLevel="0" collapsed="false">
      <c r="A301" s="22"/>
      <c r="B301" s="18"/>
      <c r="C301" s="18"/>
      <c r="D301" s="19" t="str">
        <f aca="false">IF($C301="","",IFERROR(INDEX(Estoque!$C$6:$C$45,MATCH($C301,Estoque!$A$6:$A$45,0)),"Código não encontrado"))</f>
        <v/>
      </c>
      <c r="E301" s="19" t="str">
        <f aca="false">IF($C301="","",IFERROR(INDEX(Estoque!$B$6:$B$45,MATCH($C301,Estoque!$A$6:$A$45,0)),"Código não encontrado"))</f>
        <v/>
      </c>
      <c r="F301" s="18"/>
      <c r="G301" s="18"/>
      <c r="H301" s="18"/>
      <c r="I301" s="20" t="str">
        <f aca="false">IF(OR($B301="",$C301=""),"",IF(OR($B301="Retorno de sobra",$B301="Saída de sobra"),IFERROR(VLOOKUP($G301,Listas!$A$2:$B$5,2,FALSE()),0)*IF($H301="",1,$H301),$H301))</f>
        <v/>
      </c>
      <c r="J301" s="21" t="str">
        <f aca="false">IF($C301="","",IF(ISNA(MATCH($C301,Estoque!$A$6:$A$45,0)),"⚠ Código não encontrado",IF(AND(OR($B301="Retorno de sobra",$B301="Saída de sobra"),$G301=""),"⚠ Escolha a medida da sobra",IF(AND(OR($B301="Entrada",$B301="Saída"),$H301=""),"⚠ Informe a quantidade","OK"))))</f>
        <v/>
      </c>
    </row>
    <row r="302" customFormat="false" ht="15" hidden="false" customHeight="false" outlineLevel="0" collapsed="false">
      <c r="A302" s="22"/>
      <c r="B302" s="18"/>
      <c r="C302" s="18"/>
      <c r="D302" s="19" t="str">
        <f aca="false">IF($C302="","",IFERROR(INDEX(Estoque!$C$6:$C$45,MATCH($C302,Estoque!$A$6:$A$45,0)),"Código não encontrado"))</f>
        <v/>
      </c>
      <c r="E302" s="19" t="str">
        <f aca="false">IF($C302="","",IFERROR(INDEX(Estoque!$B$6:$B$45,MATCH($C302,Estoque!$A$6:$A$45,0)),"Código não encontrado"))</f>
        <v/>
      </c>
      <c r="F302" s="18"/>
      <c r="G302" s="18"/>
      <c r="H302" s="18"/>
      <c r="I302" s="20" t="str">
        <f aca="false">IF(OR($B302="",$C302=""),"",IF(OR($B302="Retorno de sobra",$B302="Saída de sobra"),IFERROR(VLOOKUP($G302,Listas!$A$2:$B$5,2,FALSE()),0)*IF($H302="",1,$H302),$H302))</f>
        <v/>
      </c>
      <c r="J302" s="21" t="str">
        <f aca="false">IF($C302="","",IF(ISNA(MATCH($C302,Estoque!$A$6:$A$45,0)),"⚠ Código não encontrado",IF(AND(OR($B302="Retorno de sobra",$B302="Saída de sobra"),$G302=""),"⚠ Escolha a medida da sobra",IF(AND(OR($B302="Entrada",$B302="Saída"),$H302=""),"⚠ Informe a quantidade","OK"))))</f>
        <v/>
      </c>
    </row>
    <row r="303" customFormat="false" ht="15" hidden="false" customHeight="false" outlineLevel="0" collapsed="false">
      <c r="A303" s="22"/>
      <c r="B303" s="18"/>
      <c r="C303" s="18"/>
      <c r="D303" s="19" t="str">
        <f aca="false">IF($C303="","",IFERROR(INDEX(Estoque!$C$6:$C$45,MATCH($C303,Estoque!$A$6:$A$45,0)),"Código não encontrado"))</f>
        <v/>
      </c>
      <c r="E303" s="19" t="str">
        <f aca="false">IF($C303="","",IFERROR(INDEX(Estoque!$B$6:$B$45,MATCH($C303,Estoque!$A$6:$A$45,0)),"Código não encontrado"))</f>
        <v/>
      </c>
      <c r="F303" s="18"/>
      <c r="G303" s="18"/>
      <c r="H303" s="18"/>
      <c r="I303" s="20" t="str">
        <f aca="false">IF(OR($B303="",$C303=""),"",IF(OR($B303="Retorno de sobra",$B303="Saída de sobra"),IFERROR(VLOOKUP($G303,Listas!$A$2:$B$5,2,FALSE()),0)*IF($H303="",1,$H303),$H303))</f>
        <v/>
      </c>
      <c r="J303" s="21" t="str">
        <f aca="false">IF($C303="","",IF(ISNA(MATCH($C303,Estoque!$A$6:$A$45,0)),"⚠ Código não encontrado",IF(AND(OR($B303="Retorno de sobra",$B303="Saída de sobra"),$G303=""),"⚠ Escolha a medida da sobra",IF(AND(OR($B303="Entrada",$B303="Saída"),$H303=""),"⚠ Informe a quantidade","OK"))))</f>
        <v/>
      </c>
    </row>
    <row r="304" customFormat="false" ht="15" hidden="false" customHeight="false" outlineLevel="0" collapsed="false">
      <c r="A304" s="22"/>
      <c r="B304" s="18"/>
      <c r="C304" s="18"/>
      <c r="D304" s="19" t="str">
        <f aca="false">IF($C304="","",IFERROR(INDEX(Estoque!$C$6:$C$45,MATCH($C304,Estoque!$A$6:$A$45,0)),"Código não encontrado"))</f>
        <v/>
      </c>
      <c r="E304" s="19" t="str">
        <f aca="false">IF($C304="","",IFERROR(INDEX(Estoque!$B$6:$B$45,MATCH($C304,Estoque!$A$6:$A$45,0)),"Código não encontrado"))</f>
        <v/>
      </c>
      <c r="F304" s="18"/>
      <c r="G304" s="18"/>
      <c r="H304" s="18"/>
      <c r="I304" s="20" t="str">
        <f aca="false">IF(OR($B304="",$C304=""),"",IF(OR($B304="Retorno de sobra",$B304="Saída de sobra"),IFERROR(VLOOKUP($G304,Listas!$A$2:$B$5,2,FALSE()),0)*IF($H304="",1,$H304),$H304))</f>
        <v/>
      </c>
      <c r="J304" s="21" t="str">
        <f aca="false">IF($C304="","",IF(ISNA(MATCH($C304,Estoque!$A$6:$A$45,0)),"⚠ Código não encontrado",IF(AND(OR($B304="Retorno de sobra",$B304="Saída de sobra"),$G304=""),"⚠ Escolha a medida da sobra",IF(AND(OR($B304="Entrada",$B304="Saída"),$H304=""),"⚠ Informe a quantidade","OK"))))</f>
        <v/>
      </c>
    </row>
    <row r="305" customFormat="false" ht="15" hidden="false" customHeight="false" outlineLevel="0" collapsed="false">
      <c r="A305" s="22"/>
      <c r="B305" s="18"/>
      <c r="C305" s="18"/>
      <c r="D305" s="19" t="str">
        <f aca="false">IF($C305="","",IFERROR(INDEX(Estoque!$C$6:$C$45,MATCH($C305,Estoque!$A$6:$A$45,0)),"Código não encontrado"))</f>
        <v/>
      </c>
      <c r="E305" s="19" t="str">
        <f aca="false">IF($C305="","",IFERROR(INDEX(Estoque!$B$6:$B$45,MATCH($C305,Estoque!$A$6:$A$45,0)),"Código não encontrado"))</f>
        <v/>
      </c>
      <c r="F305" s="18"/>
      <c r="G305" s="18"/>
      <c r="H305" s="18"/>
      <c r="I305" s="20" t="str">
        <f aca="false">IF(OR($B305="",$C305=""),"",IF(OR($B305="Retorno de sobra",$B305="Saída de sobra"),IFERROR(VLOOKUP($G305,Listas!$A$2:$B$5,2,FALSE()),0)*IF($H305="",1,$H305),$H305))</f>
        <v/>
      </c>
      <c r="J305" s="21" t="str">
        <f aca="false">IF($C305="","",IF(ISNA(MATCH($C305,Estoque!$A$6:$A$45,0)),"⚠ Código não encontrado",IF(AND(OR($B305="Retorno de sobra",$B305="Saída de sobra"),$G305=""),"⚠ Escolha a medida da sobra",IF(AND(OR($B305="Entrada",$B305="Saída"),$H305=""),"⚠ Informe a quantidade","OK"))))</f>
        <v/>
      </c>
    </row>
    <row r="306" customFormat="false" ht="15" hidden="false" customHeight="false" outlineLevel="0" collapsed="false">
      <c r="A306" s="22"/>
      <c r="B306" s="18"/>
      <c r="C306" s="18"/>
      <c r="D306" s="19" t="str">
        <f aca="false">IF($C306="","",IFERROR(INDEX(Estoque!$C$6:$C$45,MATCH($C306,Estoque!$A$6:$A$45,0)),"Código não encontrado"))</f>
        <v/>
      </c>
      <c r="E306" s="19" t="str">
        <f aca="false">IF($C306="","",IFERROR(INDEX(Estoque!$B$6:$B$45,MATCH($C306,Estoque!$A$6:$A$45,0)),"Código não encontrado"))</f>
        <v/>
      </c>
      <c r="F306" s="18"/>
      <c r="G306" s="18"/>
      <c r="H306" s="18"/>
      <c r="I306" s="20" t="str">
        <f aca="false">IF(OR($B306="",$C306=""),"",IF(OR($B306="Retorno de sobra",$B306="Saída de sobra"),IFERROR(VLOOKUP($G306,Listas!$A$2:$B$5,2,FALSE()),0)*IF($H306="",1,$H306),$H306))</f>
        <v/>
      </c>
      <c r="J306" s="21" t="str">
        <f aca="false">IF($C306="","",IF(ISNA(MATCH($C306,Estoque!$A$6:$A$45,0)),"⚠ Código não encontrado",IF(AND(OR($B306="Retorno de sobra",$B306="Saída de sobra"),$G306=""),"⚠ Escolha a medida da sobra",IF(AND(OR($B306="Entrada",$B306="Saída"),$H306=""),"⚠ Informe a quantidade","OK"))))</f>
        <v/>
      </c>
    </row>
    <row r="307" customFormat="false" ht="15" hidden="false" customHeight="false" outlineLevel="0" collapsed="false">
      <c r="A307" s="22"/>
      <c r="B307" s="18"/>
      <c r="C307" s="18"/>
      <c r="D307" s="19" t="str">
        <f aca="false">IF($C307="","",IFERROR(INDEX(Estoque!$C$6:$C$45,MATCH($C307,Estoque!$A$6:$A$45,0)),"Código não encontrado"))</f>
        <v/>
      </c>
      <c r="E307" s="19" t="str">
        <f aca="false">IF($C307="","",IFERROR(INDEX(Estoque!$B$6:$B$45,MATCH($C307,Estoque!$A$6:$A$45,0)),"Código não encontrado"))</f>
        <v/>
      </c>
      <c r="F307" s="18"/>
      <c r="G307" s="18"/>
      <c r="H307" s="18"/>
      <c r="I307" s="20" t="str">
        <f aca="false">IF(OR($B307="",$C307=""),"",IF(OR($B307="Retorno de sobra",$B307="Saída de sobra"),IFERROR(VLOOKUP($G307,Listas!$A$2:$B$5,2,FALSE()),0)*IF($H307="",1,$H307),$H307))</f>
        <v/>
      </c>
      <c r="J307" s="21" t="str">
        <f aca="false">IF($C307="","",IF(ISNA(MATCH($C307,Estoque!$A$6:$A$45,0)),"⚠ Código não encontrado",IF(AND(OR($B307="Retorno de sobra",$B307="Saída de sobra"),$G307=""),"⚠ Escolha a medida da sobra",IF(AND(OR($B307="Entrada",$B307="Saída"),$H307=""),"⚠ Informe a quantidade","OK"))))</f>
        <v/>
      </c>
    </row>
    <row r="308" customFormat="false" ht="15" hidden="false" customHeight="false" outlineLevel="0" collapsed="false">
      <c r="A308" s="22"/>
      <c r="B308" s="18"/>
      <c r="C308" s="18"/>
      <c r="D308" s="19" t="str">
        <f aca="false">IF($C308="","",IFERROR(INDEX(Estoque!$C$6:$C$45,MATCH($C308,Estoque!$A$6:$A$45,0)),"Código não encontrado"))</f>
        <v/>
      </c>
      <c r="E308" s="19" t="str">
        <f aca="false">IF($C308="","",IFERROR(INDEX(Estoque!$B$6:$B$45,MATCH($C308,Estoque!$A$6:$A$45,0)),"Código não encontrado"))</f>
        <v/>
      </c>
      <c r="F308" s="18"/>
      <c r="G308" s="18"/>
      <c r="H308" s="18"/>
      <c r="I308" s="20" t="str">
        <f aca="false">IF(OR($B308="",$C308=""),"",IF(OR($B308="Retorno de sobra",$B308="Saída de sobra"),IFERROR(VLOOKUP($G308,Listas!$A$2:$B$5,2,FALSE()),0)*IF($H308="",1,$H308),$H308))</f>
        <v/>
      </c>
      <c r="J308" s="21" t="str">
        <f aca="false">IF($C308="","",IF(ISNA(MATCH($C308,Estoque!$A$6:$A$45,0)),"⚠ Código não encontrado",IF(AND(OR($B308="Retorno de sobra",$B308="Saída de sobra"),$G308=""),"⚠ Escolha a medida da sobra",IF(AND(OR($B308="Entrada",$B308="Saída"),$H308=""),"⚠ Informe a quantidade","OK"))))</f>
        <v/>
      </c>
    </row>
    <row r="309" customFormat="false" ht="15" hidden="false" customHeight="false" outlineLevel="0" collapsed="false">
      <c r="A309" s="22"/>
      <c r="B309" s="18"/>
      <c r="C309" s="18"/>
      <c r="D309" s="19" t="str">
        <f aca="false">IF($C309="","",IFERROR(INDEX(Estoque!$C$6:$C$45,MATCH($C309,Estoque!$A$6:$A$45,0)),"Código não encontrado"))</f>
        <v/>
      </c>
      <c r="E309" s="19" t="str">
        <f aca="false">IF($C309="","",IFERROR(INDEX(Estoque!$B$6:$B$45,MATCH($C309,Estoque!$A$6:$A$45,0)),"Código não encontrado"))</f>
        <v/>
      </c>
      <c r="F309" s="18"/>
      <c r="G309" s="18"/>
      <c r="H309" s="18"/>
      <c r="I309" s="20" t="str">
        <f aca="false">IF(OR($B309="",$C309=""),"",IF(OR($B309="Retorno de sobra",$B309="Saída de sobra"),IFERROR(VLOOKUP($G309,Listas!$A$2:$B$5,2,FALSE()),0)*IF($H309="",1,$H309),$H309))</f>
        <v/>
      </c>
      <c r="J309" s="21" t="str">
        <f aca="false">IF($C309="","",IF(ISNA(MATCH($C309,Estoque!$A$6:$A$45,0)),"⚠ Código não encontrado",IF(AND(OR($B309="Retorno de sobra",$B309="Saída de sobra"),$G309=""),"⚠ Escolha a medida da sobra",IF(AND(OR($B309="Entrada",$B309="Saída"),$H309=""),"⚠ Informe a quantidade","OK"))))</f>
        <v/>
      </c>
    </row>
    <row r="310" customFormat="false" ht="15" hidden="false" customHeight="false" outlineLevel="0" collapsed="false">
      <c r="A310" s="22"/>
      <c r="B310" s="18"/>
      <c r="C310" s="18"/>
      <c r="D310" s="19" t="str">
        <f aca="false">IF($C310="","",IFERROR(INDEX(Estoque!$C$6:$C$45,MATCH($C310,Estoque!$A$6:$A$45,0)),"Código não encontrado"))</f>
        <v/>
      </c>
      <c r="E310" s="19" t="str">
        <f aca="false">IF($C310="","",IFERROR(INDEX(Estoque!$B$6:$B$45,MATCH($C310,Estoque!$A$6:$A$45,0)),"Código não encontrado"))</f>
        <v/>
      </c>
      <c r="F310" s="18"/>
      <c r="G310" s="18"/>
      <c r="H310" s="18"/>
      <c r="I310" s="20" t="str">
        <f aca="false">IF(OR($B310="",$C310=""),"",IF(OR($B310="Retorno de sobra",$B310="Saída de sobra"),IFERROR(VLOOKUP($G310,Listas!$A$2:$B$5,2,FALSE()),0)*IF($H310="",1,$H310),$H310))</f>
        <v/>
      </c>
      <c r="J310" s="21" t="str">
        <f aca="false">IF($C310="","",IF(ISNA(MATCH($C310,Estoque!$A$6:$A$45,0)),"⚠ Código não encontrado",IF(AND(OR($B310="Retorno de sobra",$B310="Saída de sobra"),$G310=""),"⚠ Escolha a medida da sobra",IF(AND(OR($B310="Entrada",$B310="Saída"),$H310=""),"⚠ Informe a quantidade","OK"))))</f>
        <v/>
      </c>
    </row>
    <row r="311" customFormat="false" ht="15" hidden="false" customHeight="false" outlineLevel="0" collapsed="false">
      <c r="A311" s="22"/>
      <c r="B311" s="18"/>
      <c r="C311" s="18"/>
      <c r="D311" s="19" t="str">
        <f aca="false">IF($C311="","",IFERROR(INDEX(Estoque!$C$6:$C$45,MATCH($C311,Estoque!$A$6:$A$45,0)),"Código não encontrado"))</f>
        <v/>
      </c>
      <c r="E311" s="19" t="str">
        <f aca="false">IF($C311="","",IFERROR(INDEX(Estoque!$B$6:$B$45,MATCH($C311,Estoque!$A$6:$A$45,0)),"Código não encontrado"))</f>
        <v/>
      </c>
      <c r="F311" s="18"/>
      <c r="G311" s="18"/>
      <c r="H311" s="18"/>
      <c r="I311" s="20" t="str">
        <f aca="false">IF(OR($B311="",$C311=""),"",IF(OR($B311="Retorno de sobra",$B311="Saída de sobra"),IFERROR(VLOOKUP($G311,Listas!$A$2:$B$5,2,FALSE()),0)*IF($H311="",1,$H311),$H311))</f>
        <v/>
      </c>
      <c r="J311" s="21" t="str">
        <f aca="false">IF($C311="","",IF(ISNA(MATCH($C311,Estoque!$A$6:$A$45,0)),"⚠ Código não encontrado",IF(AND(OR($B311="Retorno de sobra",$B311="Saída de sobra"),$G311=""),"⚠ Escolha a medida da sobra",IF(AND(OR($B311="Entrada",$B311="Saída"),$H311=""),"⚠ Informe a quantidade","OK"))))</f>
        <v/>
      </c>
    </row>
    <row r="312" customFormat="false" ht="15" hidden="false" customHeight="false" outlineLevel="0" collapsed="false">
      <c r="A312" s="22"/>
      <c r="B312" s="18"/>
      <c r="C312" s="18"/>
      <c r="D312" s="19" t="str">
        <f aca="false">IF($C312="","",IFERROR(INDEX(Estoque!$C$6:$C$45,MATCH($C312,Estoque!$A$6:$A$45,0)),"Código não encontrado"))</f>
        <v/>
      </c>
      <c r="E312" s="19" t="str">
        <f aca="false">IF($C312="","",IFERROR(INDEX(Estoque!$B$6:$B$45,MATCH($C312,Estoque!$A$6:$A$45,0)),"Código não encontrado"))</f>
        <v/>
      </c>
      <c r="F312" s="18"/>
      <c r="G312" s="18"/>
      <c r="H312" s="18"/>
      <c r="I312" s="20" t="str">
        <f aca="false">IF(OR($B312="",$C312=""),"",IF(OR($B312="Retorno de sobra",$B312="Saída de sobra"),IFERROR(VLOOKUP($G312,Listas!$A$2:$B$5,2,FALSE()),0)*IF($H312="",1,$H312),$H312))</f>
        <v/>
      </c>
      <c r="J312" s="21" t="str">
        <f aca="false">IF($C312="","",IF(ISNA(MATCH($C312,Estoque!$A$6:$A$45,0)),"⚠ Código não encontrado",IF(AND(OR($B312="Retorno de sobra",$B312="Saída de sobra"),$G312=""),"⚠ Escolha a medida da sobra",IF(AND(OR($B312="Entrada",$B312="Saída"),$H312=""),"⚠ Informe a quantidade","OK"))))</f>
        <v/>
      </c>
    </row>
    <row r="313" customFormat="false" ht="15" hidden="false" customHeight="false" outlineLevel="0" collapsed="false">
      <c r="A313" s="22"/>
      <c r="B313" s="18"/>
      <c r="C313" s="18"/>
      <c r="D313" s="19" t="str">
        <f aca="false">IF($C313="","",IFERROR(INDEX(Estoque!$C$6:$C$45,MATCH($C313,Estoque!$A$6:$A$45,0)),"Código não encontrado"))</f>
        <v/>
      </c>
      <c r="E313" s="19" t="str">
        <f aca="false">IF($C313="","",IFERROR(INDEX(Estoque!$B$6:$B$45,MATCH($C313,Estoque!$A$6:$A$45,0)),"Código não encontrado"))</f>
        <v/>
      </c>
      <c r="F313" s="18"/>
      <c r="G313" s="18"/>
      <c r="H313" s="18"/>
      <c r="I313" s="20" t="str">
        <f aca="false">IF(OR($B313="",$C313=""),"",IF(OR($B313="Retorno de sobra",$B313="Saída de sobra"),IFERROR(VLOOKUP($G313,Listas!$A$2:$B$5,2,FALSE()),0)*IF($H313="",1,$H313),$H313))</f>
        <v/>
      </c>
      <c r="J313" s="21" t="str">
        <f aca="false">IF($C313="","",IF(ISNA(MATCH($C313,Estoque!$A$6:$A$45,0)),"⚠ Código não encontrado",IF(AND(OR($B313="Retorno de sobra",$B313="Saída de sobra"),$G313=""),"⚠ Escolha a medida da sobra",IF(AND(OR($B313="Entrada",$B313="Saída"),$H313=""),"⚠ Informe a quantidade","OK"))))</f>
        <v/>
      </c>
    </row>
    <row r="314" customFormat="false" ht="15" hidden="false" customHeight="false" outlineLevel="0" collapsed="false">
      <c r="A314" s="22"/>
      <c r="B314" s="18"/>
      <c r="C314" s="18"/>
      <c r="D314" s="19" t="str">
        <f aca="false">IF($C314="","",IFERROR(INDEX(Estoque!$C$6:$C$45,MATCH($C314,Estoque!$A$6:$A$45,0)),"Código não encontrado"))</f>
        <v/>
      </c>
      <c r="E314" s="19" t="str">
        <f aca="false">IF($C314="","",IFERROR(INDEX(Estoque!$B$6:$B$45,MATCH($C314,Estoque!$A$6:$A$45,0)),"Código não encontrado"))</f>
        <v/>
      </c>
      <c r="F314" s="18"/>
      <c r="G314" s="18"/>
      <c r="H314" s="18"/>
      <c r="I314" s="20" t="str">
        <f aca="false">IF(OR($B314="",$C314=""),"",IF(OR($B314="Retorno de sobra",$B314="Saída de sobra"),IFERROR(VLOOKUP($G314,Listas!$A$2:$B$5,2,FALSE()),0)*IF($H314="",1,$H314),$H314))</f>
        <v/>
      </c>
      <c r="J314" s="21" t="str">
        <f aca="false">IF($C314="","",IF(ISNA(MATCH($C314,Estoque!$A$6:$A$45,0)),"⚠ Código não encontrado",IF(AND(OR($B314="Retorno de sobra",$B314="Saída de sobra"),$G314=""),"⚠ Escolha a medida da sobra",IF(AND(OR($B314="Entrada",$B314="Saída"),$H314=""),"⚠ Informe a quantidade","OK"))))</f>
        <v/>
      </c>
    </row>
    <row r="315" customFormat="false" ht="15" hidden="false" customHeight="false" outlineLevel="0" collapsed="false">
      <c r="A315" s="22"/>
      <c r="B315" s="18"/>
      <c r="C315" s="18"/>
      <c r="D315" s="19" t="str">
        <f aca="false">IF($C315="","",IFERROR(INDEX(Estoque!$C$6:$C$45,MATCH($C315,Estoque!$A$6:$A$45,0)),"Código não encontrado"))</f>
        <v/>
      </c>
      <c r="E315" s="19" t="str">
        <f aca="false">IF($C315="","",IFERROR(INDEX(Estoque!$B$6:$B$45,MATCH($C315,Estoque!$A$6:$A$45,0)),"Código não encontrado"))</f>
        <v/>
      </c>
      <c r="F315" s="18"/>
      <c r="G315" s="18"/>
      <c r="H315" s="18"/>
      <c r="I315" s="20" t="str">
        <f aca="false">IF(OR($B315="",$C315=""),"",IF(OR($B315="Retorno de sobra",$B315="Saída de sobra"),IFERROR(VLOOKUP($G315,Listas!$A$2:$B$5,2,FALSE()),0)*IF($H315="",1,$H315),$H315))</f>
        <v/>
      </c>
      <c r="J315" s="21" t="str">
        <f aca="false">IF($C315="","",IF(ISNA(MATCH($C315,Estoque!$A$6:$A$45,0)),"⚠ Código não encontrado",IF(AND(OR($B315="Retorno de sobra",$B315="Saída de sobra"),$G315=""),"⚠ Escolha a medida da sobra",IF(AND(OR($B315="Entrada",$B315="Saída"),$H315=""),"⚠ Informe a quantidade","OK"))))</f>
        <v/>
      </c>
    </row>
    <row r="316" customFormat="false" ht="15" hidden="false" customHeight="false" outlineLevel="0" collapsed="false">
      <c r="A316" s="22"/>
      <c r="B316" s="18"/>
      <c r="C316" s="18"/>
      <c r="D316" s="19" t="str">
        <f aca="false">IF($C316="","",IFERROR(INDEX(Estoque!$C$6:$C$45,MATCH($C316,Estoque!$A$6:$A$45,0)),"Código não encontrado"))</f>
        <v/>
      </c>
      <c r="E316" s="19" t="str">
        <f aca="false">IF($C316="","",IFERROR(INDEX(Estoque!$B$6:$B$45,MATCH($C316,Estoque!$A$6:$A$45,0)),"Código não encontrado"))</f>
        <v/>
      </c>
      <c r="F316" s="18"/>
      <c r="G316" s="18"/>
      <c r="H316" s="18"/>
      <c r="I316" s="20" t="str">
        <f aca="false">IF(OR($B316="",$C316=""),"",IF(OR($B316="Retorno de sobra",$B316="Saída de sobra"),IFERROR(VLOOKUP($G316,Listas!$A$2:$B$5,2,FALSE()),0)*IF($H316="",1,$H316),$H316))</f>
        <v/>
      </c>
      <c r="J316" s="21" t="str">
        <f aca="false">IF($C316="","",IF(ISNA(MATCH($C316,Estoque!$A$6:$A$45,0)),"⚠ Código não encontrado",IF(AND(OR($B316="Retorno de sobra",$B316="Saída de sobra"),$G316=""),"⚠ Escolha a medida da sobra",IF(AND(OR($B316="Entrada",$B316="Saída"),$H316=""),"⚠ Informe a quantidade","OK"))))</f>
        <v/>
      </c>
    </row>
    <row r="317" customFormat="false" ht="15" hidden="false" customHeight="false" outlineLevel="0" collapsed="false">
      <c r="A317" s="22"/>
      <c r="B317" s="18"/>
      <c r="C317" s="18"/>
      <c r="D317" s="19" t="str">
        <f aca="false">IF($C317="","",IFERROR(INDEX(Estoque!$C$6:$C$45,MATCH($C317,Estoque!$A$6:$A$45,0)),"Código não encontrado"))</f>
        <v/>
      </c>
      <c r="E317" s="19" t="str">
        <f aca="false">IF($C317="","",IFERROR(INDEX(Estoque!$B$6:$B$45,MATCH($C317,Estoque!$A$6:$A$45,0)),"Código não encontrado"))</f>
        <v/>
      </c>
      <c r="F317" s="18"/>
      <c r="G317" s="18"/>
      <c r="H317" s="18"/>
      <c r="I317" s="20" t="str">
        <f aca="false">IF(OR($B317="",$C317=""),"",IF(OR($B317="Retorno de sobra",$B317="Saída de sobra"),IFERROR(VLOOKUP($G317,Listas!$A$2:$B$5,2,FALSE()),0)*IF($H317="",1,$H317),$H317))</f>
        <v/>
      </c>
      <c r="J317" s="21" t="str">
        <f aca="false">IF($C317="","",IF(ISNA(MATCH($C317,Estoque!$A$6:$A$45,0)),"⚠ Código não encontrado",IF(AND(OR($B317="Retorno de sobra",$B317="Saída de sobra"),$G317=""),"⚠ Escolha a medida da sobra",IF(AND(OR($B317="Entrada",$B317="Saída"),$H317=""),"⚠ Informe a quantidade","OK"))))</f>
        <v/>
      </c>
    </row>
    <row r="318" customFormat="false" ht="15" hidden="false" customHeight="false" outlineLevel="0" collapsed="false">
      <c r="A318" s="22"/>
      <c r="B318" s="18"/>
      <c r="C318" s="18"/>
      <c r="D318" s="19" t="str">
        <f aca="false">IF($C318="","",IFERROR(INDEX(Estoque!$C$6:$C$45,MATCH($C318,Estoque!$A$6:$A$45,0)),"Código não encontrado"))</f>
        <v/>
      </c>
      <c r="E318" s="19" t="str">
        <f aca="false">IF($C318="","",IFERROR(INDEX(Estoque!$B$6:$B$45,MATCH($C318,Estoque!$A$6:$A$45,0)),"Código não encontrado"))</f>
        <v/>
      </c>
      <c r="F318" s="18"/>
      <c r="G318" s="18"/>
      <c r="H318" s="18"/>
      <c r="I318" s="20" t="str">
        <f aca="false">IF(OR($B318="",$C318=""),"",IF(OR($B318="Retorno de sobra",$B318="Saída de sobra"),IFERROR(VLOOKUP($G318,Listas!$A$2:$B$5,2,FALSE()),0)*IF($H318="",1,$H318),$H318))</f>
        <v/>
      </c>
      <c r="J318" s="21" t="str">
        <f aca="false">IF($C318="","",IF(ISNA(MATCH($C318,Estoque!$A$6:$A$45,0)),"⚠ Código não encontrado",IF(AND(OR($B318="Retorno de sobra",$B318="Saída de sobra"),$G318=""),"⚠ Escolha a medida da sobra",IF(AND(OR($B318="Entrada",$B318="Saída"),$H318=""),"⚠ Informe a quantidade","OK"))))</f>
        <v/>
      </c>
    </row>
    <row r="319" customFormat="false" ht="15" hidden="false" customHeight="false" outlineLevel="0" collapsed="false">
      <c r="A319" s="22"/>
      <c r="B319" s="18"/>
      <c r="C319" s="18"/>
      <c r="D319" s="19" t="str">
        <f aca="false">IF($C319="","",IFERROR(INDEX(Estoque!$C$6:$C$45,MATCH($C319,Estoque!$A$6:$A$45,0)),"Código não encontrado"))</f>
        <v/>
      </c>
      <c r="E319" s="19" t="str">
        <f aca="false">IF($C319="","",IFERROR(INDEX(Estoque!$B$6:$B$45,MATCH($C319,Estoque!$A$6:$A$45,0)),"Código não encontrado"))</f>
        <v/>
      </c>
      <c r="F319" s="18"/>
      <c r="G319" s="18"/>
      <c r="H319" s="18"/>
      <c r="I319" s="20" t="str">
        <f aca="false">IF(OR($B319="",$C319=""),"",IF(OR($B319="Retorno de sobra",$B319="Saída de sobra"),IFERROR(VLOOKUP($G319,Listas!$A$2:$B$5,2,FALSE()),0)*IF($H319="",1,$H319),$H319))</f>
        <v/>
      </c>
      <c r="J319" s="21" t="str">
        <f aca="false">IF($C319="","",IF(ISNA(MATCH($C319,Estoque!$A$6:$A$45,0)),"⚠ Código não encontrado",IF(AND(OR($B319="Retorno de sobra",$B319="Saída de sobra"),$G319=""),"⚠ Escolha a medida da sobra",IF(AND(OR($B319="Entrada",$B319="Saída"),$H319=""),"⚠ Informe a quantidade","OK"))))</f>
        <v/>
      </c>
    </row>
    <row r="320" customFormat="false" ht="15" hidden="false" customHeight="false" outlineLevel="0" collapsed="false">
      <c r="A320" s="22"/>
      <c r="B320" s="18"/>
      <c r="C320" s="18"/>
      <c r="D320" s="19" t="str">
        <f aca="false">IF($C320="","",IFERROR(INDEX(Estoque!$C$6:$C$45,MATCH($C320,Estoque!$A$6:$A$45,0)),"Código não encontrado"))</f>
        <v/>
      </c>
      <c r="E320" s="19" t="str">
        <f aca="false">IF($C320="","",IFERROR(INDEX(Estoque!$B$6:$B$45,MATCH($C320,Estoque!$A$6:$A$45,0)),"Código não encontrado"))</f>
        <v/>
      </c>
      <c r="F320" s="18"/>
      <c r="G320" s="18"/>
      <c r="H320" s="18"/>
      <c r="I320" s="20" t="str">
        <f aca="false">IF(OR($B320="",$C320=""),"",IF(OR($B320="Retorno de sobra",$B320="Saída de sobra"),IFERROR(VLOOKUP($G320,Listas!$A$2:$B$5,2,FALSE()),0)*IF($H320="",1,$H320),$H320))</f>
        <v/>
      </c>
      <c r="J320" s="21" t="str">
        <f aca="false">IF($C320="","",IF(ISNA(MATCH($C320,Estoque!$A$6:$A$45,0)),"⚠ Código não encontrado",IF(AND(OR($B320="Retorno de sobra",$B320="Saída de sobra"),$G320=""),"⚠ Escolha a medida da sobra",IF(AND(OR($B320="Entrada",$B320="Saída"),$H320=""),"⚠ Informe a quantidade","OK"))))</f>
        <v/>
      </c>
    </row>
    <row r="321" customFormat="false" ht="15" hidden="false" customHeight="false" outlineLevel="0" collapsed="false">
      <c r="A321" s="22"/>
      <c r="B321" s="18"/>
      <c r="C321" s="18"/>
      <c r="D321" s="19" t="str">
        <f aca="false">IF($C321="","",IFERROR(INDEX(Estoque!$C$6:$C$45,MATCH($C321,Estoque!$A$6:$A$45,0)),"Código não encontrado"))</f>
        <v/>
      </c>
      <c r="E321" s="19" t="str">
        <f aca="false">IF($C321="","",IFERROR(INDEX(Estoque!$B$6:$B$45,MATCH($C321,Estoque!$A$6:$A$45,0)),"Código não encontrado"))</f>
        <v/>
      </c>
      <c r="F321" s="18"/>
      <c r="G321" s="18"/>
      <c r="H321" s="18"/>
      <c r="I321" s="20" t="str">
        <f aca="false">IF(OR($B321="",$C321=""),"",IF(OR($B321="Retorno de sobra",$B321="Saída de sobra"),IFERROR(VLOOKUP($G321,Listas!$A$2:$B$5,2,FALSE()),0)*IF($H321="",1,$H321),$H321))</f>
        <v/>
      </c>
      <c r="J321" s="21" t="str">
        <f aca="false">IF($C321="","",IF(ISNA(MATCH($C321,Estoque!$A$6:$A$45,0)),"⚠ Código não encontrado",IF(AND(OR($B321="Retorno de sobra",$B321="Saída de sobra"),$G321=""),"⚠ Escolha a medida da sobra",IF(AND(OR($B321="Entrada",$B321="Saída"),$H321=""),"⚠ Informe a quantidade","OK"))))</f>
        <v/>
      </c>
    </row>
    <row r="322" customFormat="false" ht="15" hidden="false" customHeight="false" outlineLevel="0" collapsed="false">
      <c r="A322" s="22"/>
      <c r="B322" s="18"/>
      <c r="C322" s="18"/>
      <c r="D322" s="19" t="str">
        <f aca="false">IF($C322="","",IFERROR(INDEX(Estoque!$C$6:$C$45,MATCH($C322,Estoque!$A$6:$A$45,0)),"Código não encontrado"))</f>
        <v/>
      </c>
      <c r="E322" s="19" t="str">
        <f aca="false">IF($C322="","",IFERROR(INDEX(Estoque!$B$6:$B$45,MATCH($C322,Estoque!$A$6:$A$45,0)),"Código não encontrado"))</f>
        <v/>
      </c>
      <c r="F322" s="18"/>
      <c r="G322" s="18"/>
      <c r="H322" s="18"/>
      <c r="I322" s="20" t="str">
        <f aca="false">IF(OR($B322="",$C322=""),"",IF(OR($B322="Retorno de sobra",$B322="Saída de sobra"),IFERROR(VLOOKUP($G322,Listas!$A$2:$B$5,2,FALSE()),0)*IF($H322="",1,$H322),$H322))</f>
        <v/>
      </c>
      <c r="J322" s="21" t="str">
        <f aca="false">IF($C322="","",IF(ISNA(MATCH($C322,Estoque!$A$6:$A$45,0)),"⚠ Código não encontrado",IF(AND(OR($B322="Retorno de sobra",$B322="Saída de sobra"),$G322=""),"⚠ Escolha a medida da sobra",IF(AND(OR($B322="Entrada",$B322="Saída"),$H322=""),"⚠ Informe a quantidade","OK"))))</f>
        <v/>
      </c>
    </row>
    <row r="323" customFormat="false" ht="15" hidden="false" customHeight="false" outlineLevel="0" collapsed="false">
      <c r="A323" s="22"/>
      <c r="B323" s="18"/>
      <c r="C323" s="18"/>
      <c r="D323" s="19" t="str">
        <f aca="false">IF($C323="","",IFERROR(INDEX(Estoque!$C$6:$C$45,MATCH($C323,Estoque!$A$6:$A$45,0)),"Código não encontrado"))</f>
        <v/>
      </c>
      <c r="E323" s="19" t="str">
        <f aca="false">IF($C323="","",IFERROR(INDEX(Estoque!$B$6:$B$45,MATCH($C323,Estoque!$A$6:$A$45,0)),"Código não encontrado"))</f>
        <v/>
      </c>
      <c r="F323" s="18"/>
      <c r="G323" s="18"/>
      <c r="H323" s="18"/>
      <c r="I323" s="20" t="str">
        <f aca="false">IF(OR($B323="",$C323=""),"",IF(OR($B323="Retorno de sobra",$B323="Saída de sobra"),IFERROR(VLOOKUP($G323,Listas!$A$2:$B$5,2,FALSE()),0)*IF($H323="",1,$H323),$H323))</f>
        <v/>
      </c>
      <c r="J323" s="21" t="str">
        <f aca="false">IF($C323="","",IF(ISNA(MATCH($C323,Estoque!$A$6:$A$45,0)),"⚠ Código não encontrado",IF(AND(OR($B323="Retorno de sobra",$B323="Saída de sobra"),$G323=""),"⚠ Escolha a medida da sobra",IF(AND(OR($B323="Entrada",$B323="Saída"),$H323=""),"⚠ Informe a quantidade","OK"))))</f>
        <v/>
      </c>
    </row>
    <row r="324" customFormat="false" ht="15" hidden="false" customHeight="false" outlineLevel="0" collapsed="false">
      <c r="A324" s="22"/>
      <c r="B324" s="18"/>
      <c r="C324" s="18"/>
      <c r="D324" s="19" t="str">
        <f aca="false">IF($C324="","",IFERROR(INDEX(Estoque!$C$6:$C$45,MATCH($C324,Estoque!$A$6:$A$45,0)),"Código não encontrado"))</f>
        <v/>
      </c>
      <c r="E324" s="19" t="str">
        <f aca="false">IF($C324="","",IFERROR(INDEX(Estoque!$B$6:$B$45,MATCH($C324,Estoque!$A$6:$A$45,0)),"Código não encontrado"))</f>
        <v/>
      </c>
      <c r="F324" s="18"/>
      <c r="G324" s="18"/>
      <c r="H324" s="18"/>
      <c r="I324" s="20" t="str">
        <f aca="false">IF(OR($B324="",$C324=""),"",IF(OR($B324="Retorno de sobra",$B324="Saída de sobra"),IFERROR(VLOOKUP($G324,Listas!$A$2:$B$5,2,FALSE()),0)*IF($H324="",1,$H324),$H324))</f>
        <v/>
      </c>
      <c r="J324" s="21" t="str">
        <f aca="false">IF($C324="","",IF(ISNA(MATCH($C324,Estoque!$A$6:$A$45,0)),"⚠ Código não encontrado",IF(AND(OR($B324="Retorno de sobra",$B324="Saída de sobra"),$G324=""),"⚠ Escolha a medida da sobra",IF(AND(OR($B324="Entrada",$B324="Saída"),$H324=""),"⚠ Informe a quantidade","OK"))))</f>
        <v/>
      </c>
    </row>
    <row r="325" customFormat="false" ht="15" hidden="false" customHeight="false" outlineLevel="0" collapsed="false">
      <c r="A325" s="22"/>
      <c r="B325" s="18"/>
      <c r="C325" s="18"/>
      <c r="D325" s="19" t="str">
        <f aca="false">IF($C325="","",IFERROR(INDEX(Estoque!$C$6:$C$45,MATCH($C325,Estoque!$A$6:$A$45,0)),"Código não encontrado"))</f>
        <v/>
      </c>
      <c r="E325" s="19" t="str">
        <f aca="false">IF($C325="","",IFERROR(INDEX(Estoque!$B$6:$B$45,MATCH($C325,Estoque!$A$6:$A$45,0)),"Código não encontrado"))</f>
        <v/>
      </c>
      <c r="F325" s="18"/>
      <c r="G325" s="18"/>
      <c r="H325" s="18"/>
      <c r="I325" s="20" t="str">
        <f aca="false">IF(OR($B325="",$C325=""),"",IF(OR($B325="Retorno de sobra",$B325="Saída de sobra"),IFERROR(VLOOKUP($G325,Listas!$A$2:$B$5,2,FALSE()),0)*IF($H325="",1,$H325),$H325))</f>
        <v/>
      </c>
      <c r="J325" s="21" t="str">
        <f aca="false">IF($C325="","",IF(ISNA(MATCH($C325,Estoque!$A$6:$A$45,0)),"⚠ Código não encontrado",IF(AND(OR($B325="Retorno de sobra",$B325="Saída de sobra"),$G325=""),"⚠ Escolha a medida da sobra",IF(AND(OR($B325="Entrada",$B325="Saída"),$H325=""),"⚠ Informe a quantidade","OK"))))</f>
        <v/>
      </c>
    </row>
    <row r="326" customFormat="false" ht="15" hidden="false" customHeight="false" outlineLevel="0" collapsed="false">
      <c r="A326" s="22"/>
      <c r="B326" s="18"/>
      <c r="C326" s="18"/>
      <c r="D326" s="19" t="str">
        <f aca="false">IF($C326="","",IFERROR(INDEX(Estoque!$C$6:$C$45,MATCH($C326,Estoque!$A$6:$A$45,0)),"Código não encontrado"))</f>
        <v/>
      </c>
      <c r="E326" s="19" t="str">
        <f aca="false">IF($C326="","",IFERROR(INDEX(Estoque!$B$6:$B$45,MATCH($C326,Estoque!$A$6:$A$45,0)),"Código não encontrado"))</f>
        <v/>
      </c>
      <c r="F326" s="18"/>
      <c r="G326" s="18"/>
      <c r="H326" s="18"/>
      <c r="I326" s="20" t="str">
        <f aca="false">IF(OR($B326="",$C326=""),"",IF(OR($B326="Retorno de sobra",$B326="Saída de sobra"),IFERROR(VLOOKUP($G326,Listas!$A$2:$B$5,2,FALSE()),0)*IF($H326="",1,$H326),$H326))</f>
        <v/>
      </c>
      <c r="J326" s="21" t="str">
        <f aca="false">IF($C326="","",IF(ISNA(MATCH($C326,Estoque!$A$6:$A$45,0)),"⚠ Código não encontrado",IF(AND(OR($B326="Retorno de sobra",$B326="Saída de sobra"),$G326=""),"⚠ Escolha a medida da sobra",IF(AND(OR($B326="Entrada",$B326="Saída"),$H326=""),"⚠ Informe a quantidade","OK"))))</f>
        <v/>
      </c>
    </row>
    <row r="327" customFormat="false" ht="15" hidden="false" customHeight="false" outlineLevel="0" collapsed="false">
      <c r="A327" s="22"/>
      <c r="B327" s="18"/>
      <c r="C327" s="18"/>
      <c r="D327" s="19" t="str">
        <f aca="false">IF($C327="","",IFERROR(INDEX(Estoque!$C$6:$C$45,MATCH($C327,Estoque!$A$6:$A$45,0)),"Código não encontrado"))</f>
        <v/>
      </c>
      <c r="E327" s="19" t="str">
        <f aca="false">IF($C327="","",IFERROR(INDEX(Estoque!$B$6:$B$45,MATCH($C327,Estoque!$A$6:$A$45,0)),"Código não encontrado"))</f>
        <v/>
      </c>
      <c r="F327" s="18"/>
      <c r="G327" s="18"/>
      <c r="H327" s="18"/>
      <c r="I327" s="20" t="str">
        <f aca="false">IF(OR($B327="",$C327=""),"",IF(OR($B327="Retorno de sobra",$B327="Saída de sobra"),IFERROR(VLOOKUP($G327,Listas!$A$2:$B$5,2,FALSE()),0)*IF($H327="",1,$H327),$H327))</f>
        <v/>
      </c>
      <c r="J327" s="21" t="str">
        <f aca="false">IF($C327="","",IF(ISNA(MATCH($C327,Estoque!$A$6:$A$45,0)),"⚠ Código não encontrado",IF(AND(OR($B327="Retorno de sobra",$B327="Saída de sobra"),$G327=""),"⚠ Escolha a medida da sobra",IF(AND(OR($B327="Entrada",$B327="Saída"),$H327=""),"⚠ Informe a quantidade","OK"))))</f>
        <v/>
      </c>
    </row>
    <row r="328" customFormat="false" ht="15" hidden="false" customHeight="false" outlineLevel="0" collapsed="false">
      <c r="A328" s="22"/>
      <c r="B328" s="18"/>
      <c r="C328" s="18"/>
      <c r="D328" s="19" t="str">
        <f aca="false">IF($C328="","",IFERROR(INDEX(Estoque!$C$6:$C$45,MATCH($C328,Estoque!$A$6:$A$45,0)),"Código não encontrado"))</f>
        <v/>
      </c>
      <c r="E328" s="19" t="str">
        <f aca="false">IF($C328="","",IFERROR(INDEX(Estoque!$B$6:$B$45,MATCH($C328,Estoque!$A$6:$A$45,0)),"Código não encontrado"))</f>
        <v/>
      </c>
      <c r="F328" s="18"/>
      <c r="G328" s="18"/>
      <c r="H328" s="18"/>
      <c r="I328" s="20" t="str">
        <f aca="false">IF(OR($B328="",$C328=""),"",IF(OR($B328="Retorno de sobra",$B328="Saída de sobra"),IFERROR(VLOOKUP($G328,Listas!$A$2:$B$5,2,FALSE()),0)*IF($H328="",1,$H328),$H328))</f>
        <v/>
      </c>
      <c r="J328" s="21" t="str">
        <f aca="false">IF($C328="","",IF(ISNA(MATCH($C328,Estoque!$A$6:$A$45,0)),"⚠ Código não encontrado",IF(AND(OR($B328="Retorno de sobra",$B328="Saída de sobra"),$G328=""),"⚠ Escolha a medida da sobra",IF(AND(OR($B328="Entrada",$B328="Saída"),$H328=""),"⚠ Informe a quantidade","OK"))))</f>
        <v/>
      </c>
    </row>
    <row r="329" customFormat="false" ht="15" hidden="false" customHeight="false" outlineLevel="0" collapsed="false">
      <c r="A329" s="22"/>
      <c r="B329" s="18"/>
      <c r="C329" s="18"/>
      <c r="D329" s="19" t="str">
        <f aca="false">IF($C329="","",IFERROR(INDEX(Estoque!$C$6:$C$45,MATCH($C329,Estoque!$A$6:$A$45,0)),"Código não encontrado"))</f>
        <v/>
      </c>
      <c r="E329" s="19" t="str">
        <f aca="false">IF($C329="","",IFERROR(INDEX(Estoque!$B$6:$B$45,MATCH($C329,Estoque!$A$6:$A$45,0)),"Código não encontrado"))</f>
        <v/>
      </c>
      <c r="F329" s="18"/>
      <c r="G329" s="18"/>
      <c r="H329" s="18"/>
      <c r="I329" s="20" t="str">
        <f aca="false">IF(OR($B329="",$C329=""),"",IF(OR($B329="Retorno de sobra",$B329="Saída de sobra"),IFERROR(VLOOKUP($G329,Listas!$A$2:$B$5,2,FALSE()),0)*IF($H329="",1,$H329),$H329))</f>
        <v/>
      </c>
      <c r="J329" s="21" t="str">
        <f aca="false">IF($C329="","",IF(ISNA(MATCH($C329,Estoque!$A$6:$A$45,0)),"⚠ Código não encontrado",IF(AND(OR($B329="Retorno de sobra",$B329="Saída de sobra"),$G329=""),"⚠ Escolha a medida da sobra",IF(AND(OR($B329="Entrada",$B329="Saída"),$H329=""),"⚠ Informe a quantidade","OK"))))</f>
        <v/>
      </c>
    </row>
    <row r="330" customFormat="false" ht="15" hidden="false" customHeight="false" outlineLevel="0" collapsed="false">
      <c r="A330" s="22"/>
      <c r="B330" s="18"/>
      <c r="C330" s="18"/>
      <c r="D330" s="19" t="str">
        <f aca="false">IF($C330="","",IFERROR(INDEX(Estoque!$C$6:$C$45,MATCH($C330,Estoque!$A$6:$A$45,0)),"Código não encontrado"))</f>
        <v/>
      </c>
      <c r="E330" s="19" t="str">
        <f aca="false">IF($C330="","",IFERROR(INDEX(Estoque!$B$6:$B$45,MATCH($C330,Estoque!$A$6:$A$45,0)),"Código não encontrado"))</f>
        <v/>
      </c>
      <c r="F330" s="18"/>
      <c r="G330" s="18"/>
      <c r="H330" s="18"/>
      <c r="I330" s="20" t="str">
        <f aca="false">IF(OR($B330="",$C330=""),"",IF(OR($B330="Retorno de sobra",$B330="Saída de sobra"),IFERROR(VLOOKUP($G330,Listas!$A$2:$B$5,2,FALSE()),0)*IF($H330="",1,$H330),$H330))</f>
        <v/>
      </c>
      <c r="J330" s="21" t="str">
        <f aca="false">IF($C330="","",IF(ISNA(MATCH($C330,Estoque!$A$6:$A$45,0)),"⚠ Código não encontrado",IF(AND(OR($B330="Retorno de sobra",$B330="Saída de sobra"),$G330=""),"⚠ Escolha a medida da sobra",IF(AND(OR($B330="Entrada",$B330="Saída"),$H330=""),"⚠ Informe a quantidade","OK"))))</f>
        <v/>
      </c>
    </row>
    <row r="331" customFormat="false" ht="15" hidden="false" customHeight="false" outlineLevel="0" collapsed="false">
      <c r="A331" s="22"/>
      <c r="B331" s="18"/>
      <c r="C331" s="18"/>
      <c r="D331" s="19" t="str">
        <f aca="false">IF($C331="","",IFERROR(INDEX(Estoque!$C$6:$C$45,MATCH($C331,Estoque!$A$6:$A$45,0)),"Código não encontrado"))</f>
        <v/>
      </c>
      <c r="E331" s="19" t="str">
        <f aca="false">IF($C331="","",IFERROR(INDEX(Estoque!$B$6:$B$45,MATCH($C331,Estoque!$A$6:$A$45,0)),"Código não encontrado"))</f>
        <v/>
      </c>
      <c r="F331" s="18"/>
      <c r="G331" s="18"/>
      <c r="H331" s="18"/>
      <c r="I331" s="20" t="str">
        <f aca="false">IF(OR($B331="",$C331=""),"",IF(OR($B331="Retorno de sobra",$B331="Saída de sobra"),IFERROR(VLOOKUP($G331,Listas!$A$2:$B$5,2,FALSE()),0)*IF($H331="",1,$H331),$H331))</f>
        <v/>
      </c>
      <c r="J331" s="21" t="str">
        <f aca="false">IF($C331="","",IF(ISNA(MATCH($C331,Estoque!$A$6:$A$45,0)),"⚠ Código não encontrado",IF(AND(OR($B331="Retorno de sobra",$B331="Saída de sobra"),$G331=""),"⚠ Escolha a medida da sobra",IF(AND(OR($B331="Entrada",$B331="Saída"),$H331=""),"⚠ Informe a quantidade","OK"))))</f>
        <v/>
      </c>
    </row>
    <row r="332" customFormat="false" ht="15" hidden="false" customHeight="false" outlineLevel="0" collapsed="false">
      <c r="A332" s="22"/>
      <c r="B332" s="18"/>
      <c r="C332" s="18"/>
      <c r="D332" s="19" t="str">
        <f aca="false">IF($C332="","",IFERROR(INDEX(Estoque!$C$6:$C$45,MATCH($C332,Estoque!$A$6:$A$45,0)),"Código não encontrado"))</f>
        <v/>
      </c>
      <c r="E332" s="19" t="str">
        <f aca="false">IF($C332="","",IFERROR(INDEX(Estoque!$B$6:$B$45,MATCH($C332,Estoque!$A$6:$A$45,0)),"Código não encontrado"))</f>
        <v/>
      </c>
      <c r="F332" s="18"/>
      <c r="G332" s="18"/>
      <c r="H332" s="18"/>
      <c r="I332" s="20" t="str">
        <f aca="false">IF(OR($B332="",$C332=""),"",IF(OR($B332="Retorno de sobra",$B332="Saída de sobra"),IFERROR(VLOOKUP($G332,Listas!$A$2:$B$5,2,FALSE()),0)*IF($H332="",1,$H332),$H332))</f>
        <v/>
      </c>
      <c r="J332" s="21" t="str">
        <f aca="false">IF($C332="","",IF(ISNA(MATCH($C332,Estoque!$A$6:$A$45,0)),"⚠ Código não encontrado",IF(AND(OR($B332="Retorno de sobra",$B332="Saída de sobra"),$G332=""),"⚠ Escolha a medida da sobra",IF(AND(OR($B332="Entrada",$B332="Saída"),$H332=""),"⚠ Informe a quantidade","OK"))))</f>
        <v/>
      </c>
    </row>
    <row r="333" customFormat="false" ht="15" hidden="false" customHeight="false" outlineLevel="0" collapsed="false">
      <c r="A333" s="22"/>
      <c r="B333" s="18"/>
      <c r="C333" s="18"/>
      <c r="D333" s="19" t="str">
        <f aca="false">IF($C333="","",IFERROR(INDEX(Estoque!$C$6:$C$45,MATCH($C333,Estoque!$A$6:$A$45,0)),"Código não encontrado"))</f>
        <v/>
      </c>
      <c r="E333" s="19" t="str">
        <f aca="false">IF($C333="","",IFERROR(INDEX(Estoque!$B$6:$B$45,MATCH($C333,Estoque!$A$6:$A$45,0)),"Código não encontrado"))</f>
        <v/>
      </c>
      <c r="F333" s="18"/>
      <c r="G333" s="18"/>
      <c r="H333" s="18"/>
      <c r="I333" s="20" t="str">
        <f aca="false">IF(OR($B333="",$C333=""),"",IF(OR($B333="Retorno de sobra",$B333="Saída de sobra"),IFERROR(VLOOKUP($G333,Listas!$A$2:$B$5,2,FALSE()),0)*IF($H333="",1,$H333),$H333))</f>
        <v/>
      </c>
      <c r="J333" s="21" t="str">
        <f aca="false">IF($C333="","",IF(ISNA(MATCH($C333,Estoque!$A$6:$A$45,0)),"⚠ Código não encontrado",IF(AND(OR($B333="Retorno de sobra",$B333="Saída de sobra"),$G333=""),"⚠ Escolha a medida da sobra",IF(AND(OR($B333="Entrada",$B333="Saída"),$H333=""),"⚠ Informe a quantidade","OK"))))</f>
        <v/>
      </c>
    </row>
    <row r="334" customFormat="false" ht="15" hidden="false" customHeight="false" outlineLevel="0" collapsed="false">
      <c r="A334" s="22"/>
      <c r="B334" s="18"/>
      <c r="C334" s="18"/>
      <c r="D334" s="19" t="str">
        <f aca="false">IF($C334="","",IFERROR(INDEX(Estoque!$C$6:$C$45,MATCH($C334,Estoque!$A$6:$A$45,0)),"Código não encontrado"))</f>
        <v/>
      </c>
      <c r="E334" s="19" t="str">
        <f aca="false">IF($C334="","",IFERROR(INDEX(Estoque!$B$6:$B$45,MATCH($C334,Estoque!$A$6:$A$45,0)),"Código não encontrado"))</f>
        <v/>
      </c>
      <c r="F334" s="18"/>
      <c r="G334" s="18"/>
      <c r="H334" s="18"/>
      <c r="I334" s="20" t="str">
        <f aca="false">IF(OR($B334="",$C334=""),"",IF(OR($B334="Retorno de sobra",$B334="Saída de sobra"),IFERROR(VLOOKUP($G334,Listas!$A$2:$B$5,2,FALSE()),0)*IF($H334="",1,$H334),$H334))</f>
        <v/>
      </c>
      <c r="J334" s="21" t="str">
        <f aca="false">IF($C334="","",IF(ISNA(MATCH($C334,Estoque!$A$6:$A$45,0)),"⚠ Código não encontrado",IF(AND(OR($B334="Retorno de sobra",$B334="Saída de sobra"),$G334=""),"⚠ Escolha a medida da sobra",IF(AND(OR($B334="Entrada",$B334="Saída"),$H334=""),"⚠ Informe a quantidade","OK"))))</f>
        <v/>
      </c>
    </row>
    <row r="335" customFormat="false" ht="15" hidden="false" customHeight="false" outlineLevel="0" collapsed="false">
      <c r="A335" s="22"/>
      <c r="B335" s="18"/>
      <c r="C335" s="18"/>
      <c r="D335" s="19" t="str">
        <f aca="false">IF($C335="","",IFERROR(INDEX(Estoque!$C$6:$C$45,MATCH($C335,Estoque!$A$6:$A$45,0)),"Código não encontrado"))</f>
        <v/>
      </c>
      <c r="E335" s="19" t="str">
        <f aca="false">IF($C335="","",IFERROR(INDEX(Estoque!$B$6:$B$45,MATCH($C335,Estoque!$A$6:$A$45,0)),"Código não encontrado"))</f>
        <v/>
      </c>
      <c r="F335" s="18"/>
      <c r="G335" s="18"/>
      <c r="H335" s="18"/>
      <c r="I335" s="20" t="str">
        <f aca="false">IF(OR($B335="",$C335=""),"",IF(OR($B335="Retorno de sobra",$B335="Saída de sobra"),IFERROR(VLOOKUP($G335,Listas!$A$2:$B$5,2,FALSE()),0)*IF($H335="",1,$H335),$H335))</f>
        <v/>
      </c>
      <c r="J335" s="21" t="str">
        <f aca="false">IF($C335="","",IF(ISNA(MATCH($C335,Estoque!$A$6:$A$45,0)),"⚠ Código não encontrado",IF(AND(OR($B335="Retorno de sobra",$B335="Saída de sobra"),$G335=""),"⚠ Escolha a medida da sobra",IF(AND(OR($B335="Entrada",$B335="Saída"),$H335=""),"⚠ Informe a quantidade","OK"))))</f>
        <v/>
      </c>
    </row>
    <row r="336" customFormat="false" ht="15" hidden="false" customHeight="false" outlineLevel="0" collapsed="false">
      <c r="A336" s="22"/>
      <c r="B336" s="18"/>
      <c r="C336" s="18"/>
      <c r="D336" s="19" t="str">
        <f aca="false">IF($C336="","",IFERROR(INDEX(Estoque!$C$6:$C$45,MATCH($C336,Estoque!$A$6:$A$45,0)),"Código não encontrado"))</f>
        <v/>
      </c>
      <c r="E336" s="19" t="str">
        <f aca="false">IF($C336="","",IFERROR(INDEX(Estoque!$B$6:$B$45,MATCH($C336,Estoque!$A$6:$A$45,0)),"Código não encontrado"))</f>
        <v/>
      </c>
      <c r="F336" s="18"/>
      <c r="G336" s="18"/>
      <c r="H336" s="18"/>
      <c r="I336" s="20" t="str">
        <f aca="false">IF(OR($B336="",$C336=""),"",IF(OR($B336="Retorno de sobra",$B336="Saída de sobra"),IFERROR(VLOOKUP($G336,Listas!$A$2:$B$5,2,FALSE()),0)*IF($H336="",1,$H336),$H336))</f>
        <v/>
      </c>
      <c r="J336" s="21" t="str">
        <f aca="false">IF($C336="","",IF(ISNA(MATCH($C336,Estoque!$A$6:$A$45,0)),"⚠ Código não encontrado",IF(AND(OR($B336="Retorno de sobra",$B336="Saída de sobra"),$G336=""),"⚠ Escolha a medida da sobra",IF(AND(OR($B336="Entrada",$B336="Saída"),$H336=""),"⚠ Informe a quantidade","OK"))))</f>
        <v/>
      </c>
    </row>
    <row r="337" customFormat="false" ht="15" hidden="false" customHeight="false" outlineLevel="0" collapsed="false">
      <c r="A337" s="22"/>
      <c r="B337" s="18"/>
      <c r="C337" s="18"/>
      <c r="D337" s="19" t="str">
        <f aca="false">IF($C337="","",IFERROR(INDEX(Estoque!$C$6:$C$45,MATCH($C337,Estoque!$A$6:$A$45,0)),"Código não encontrado"))</f>
        <v/>
      </c>
      <c r="E337" s="19" t="str">
        <f aca="false">IF($C337="","",IFERROR(INDEX(Estoque!$B$6:$B$45,MATCH($C337,Estoque!$A$6:$A$45,0)),"Código não encontrado"))</f>
        <v/>
      </c>
      <c r="F337" s="18"/>
      <c r="G337" s="18"/>
      <c r="H337" s="18"/>
      <c r="I337" s="20" t="str">
        <f aca="false">IF(OR($B337="",$C337=""),"",IF(OR($B337="Retorno de sobra",$B337="Saída de sobra"),IFERROR(VLOOKUP($G337,Listas!$A$2:$B$5,2,FALSE()),0)*IF($H337="",1,$H337),$H337))</f>
        <v/>
      </c>
      <c r="J337" s="21" t="str">
        <f aca="false">IF($C337="","",IF(ISNA(MATCH($C337,Estoque!$A$6:$A$45,0)),"⚠ Código não encontrado",IF(AND(OR($B337="Retorno de sobra",$B337="Saída de sobra"),$G337=""),"⚠ Escolha a medida da sobra",IF(AND(OR($B337="Entrada",$B337="Saída"),$H337=""),"⚠ Informe a quantidade","OK"))))</f>
        <v/>
      </c>
    </row>
    <row r="338" customFormat="false" ht="15" hidden="false" customHeight="false" outlineLevel="0" collapsed="false">
      <c r="A338" s="22"/>
      <c r="B338" s="18"/>
      <c r="C338" s="18"/>
      <c r="D338" s="19" t="str">
        <f aca="false">IF($C338="","",IFERROR(INDEX(Estoque!$C$6:$C$45,MATCH($C338,Estoque!$A$6:$A$45,0)),"Código não encontrado"))</f>
        <v/>
      </c>
      <c r="E338" s="19" t="str">
        <f aca="false">IF($C338="","",IFERROR(INDEX(Estoque!$B$6:$B$45,MATCH($C338,Estoque!$A$6:$A$45,0)),"Código não encontrado"))</f>
        <v/>
      </c>
      <c r="F338" s="18"/>
      <c r="G338" s="18"/>
      <c r="H338" s="18"/>
      <c r="I338" s="20" t="str">
        <f aca="false">IF(OR($B338="",$C338=""),"",IF(OR($B338="Retorno de sobra",$B338="Saída de sobra"),IFERROR(VLOOKUP($G338,Listas!$A$2:$B$5,2,FALSE()),0)*IF($H338="",1,$H338),$H338))</f>
        <v/>
      </c>
      <c r="J338" s="21" t="str">
        <f aca="false">IF($C338="","",IF(ISNA(MATCH($C338,Estoque!$A$6:$A$45,0)),"⚠ Código não encontrado",IF(AND(OR($B338="Retorno de sobra",$B338="Saída de sobra"),$G338=""),"⚠ Escolha a medida da sobra",IF(AND(OR($B338="Entrada",$B338="Saída"),$H338=""),"⚠ Informe a quantidade","OK"))))</f>
        <v/>
      </c>
    </row>
    <row r="339" customFormat="false" ht="15" hidden="false" customHeight="false" outlineLevel="0" collapsed="false">
      <c r="A339" s="22"/>
      <c r="B339" s="18"/>
      <c r="C339" s="18"/>
      <c r="D339" s="19" t="str">
        <f aca="false">IF($C339="","",IFERROR(INDEX(Estoque!$C$6:$C$45,MATCH($C339,Estoque!$A$6:$A$45,0)),"Código não encontrado"))</f>
        <v/>
      </c>
      <c r="E339" s="19" t="str">
        <f aca="false">IF($C339="","",IFERROR(INDEX(Estoque!$B$6:$B$45,MATCH($C339,Estoque!$A$6:$A$45,0)),"Código não encontrado"))</f>
        <v/>
      </c>
      <c r="F339" s="18"/>
      <c r="G339" s="18"/>
      <c r="H339" s="18"/>
      <c r="I339" s="20" t="str">
        <f aca="false">IF(OR($B339="",$C339=""),"",IF(OR($B339="Retorno de sobra",$B339="Saída de sobra"),IFERROR(VLOOKUP($G339,Listas!$A$2:$B$5,2,FALSE()),0)*IF($H339="",1,$H339),$H339))</f>
        <v/>
      </c>
      <c r="J339" s="21" t="str">
        <f aca="false">IF($C339="","",IF(ISNA(MATCH($C339,Estoque!$A$6:$A$45,0)),"⚠ Código não encontrado",IF(AND(OR($B339="Retorno de sobra",$B339="Saída de sobra"),$G339=""),"⚠ Escolha a medida da sobra",IF(AND(OR($B339="Entrada",$B339="Saída"),$H339=""),"⚠ Informe a quantidade","OK"))))</f>
        <v/>
      </c>
    </row>
    <row r="340" customFormat="false" ht="15" hidden="false" customHeight="false" outlineLevel="0" collapsed="false">
      <c r="A340" s="22"/>
      <c r="B340" s="18"/>
      <c r="C340" s="18"/>
      <c r="D340" s="19" t="str">
        <f aca="false">IF($C340="","",IFERROR(INDEX(Estoque!$C$6:$C$45,MATCH($C340,Estoque!$A$6:$A$45,0)),"Código não encontrado"))</f>
        <v/>
      </c>
      <c r="E340" s="19" t="str">
        <f aca="false">IF($C340="","",IFERROR(INDEX(Estoque!$B$6:$B$45,MATCH($C340,Estoque!$A$6:$A$45,0)),"Código não encontrado"))</f>
        <v/>
      </c>
      <c r="F340" s="18"/>
      <c r="G340" s="18"/>
      <c r="H340" s="18"/>
      <c r="I340" s="20" t="str">
        <f aca="false">IF(OR($B340="",$C340=""),"",IF(OR($B340="Retorno de sobra",$B340="Saída de sobra"),IFERROR(VLOOKUP($G340,Listas!$A$2:$B$5,2,FALSE()),0)*IF($H340="",1,$H340),$H340))</f>
        <v/>
      </c>
      <c r="J340" s="21" t="str">
        <f aca="false">IF($C340="","",IF(ISNA(MATCH($C340,Estoque!$A$6:$A$45,0)),"⚠ Código não encontrado",IF(AND(OR($B340="Retorno de sobra",$B340="Saída de sobra"),$G340=""),"⚠ Escolha a medida da sobra",IF(AND(OR($B340="Entrada",$B340="Saída"),$H340=""),"⚠ Informe a quantidade","OK"))))</f>
        <v/>
      </c>
    </row>
    <row r="341" customFormat="false" ht="15" hidden="false" customHeight="false" outlineLevel="0" collapsed="false">
      <c r="A341" s="22"/>
      <c r="B341" s="18"/>
      <c r="C341" s="18"/>
      <c r="D341" s="19" t="str">
        <f aca="false">IF($C341="","",IFERROR(INDEX(Estoque!$C$6:$C$45,MATCH($C341,Estoque!$A$6:$A$45,0)),"Código não encontrado"))</f>
        <v/>
      </c>
      <c r="E341" s="19" t="str">
        <f aca="false">IF($C341="","",IFERROR(INDEX(Estoque!$B$6:$B$45,MATCH($C341,Estoque!$A$6:$A$45,0)),"Código não encontrado"))</f>
        <v/>
      </c>
      <c r="F341" s="18"/>
      <c r="G341" s="18"/>
      <c r="H341" s="18"/>
      <c r="I341" s="20" t="str">
        <f aca="false">IF(OR($B341="",$C341=""),"",IF(OR($B341="Retorno de sobra",$B341="Saída de sobra"),IFERROR(VLOOKUP($G341,Listas!$A$2:$B$5,2,FALSE()),0)*IF($H341="",1,$H341),$H341))</f>
        <v/>
      </c>
      <c r="J341" s="21" t="str">
        <f aca="false">IF($C341="","",IF(ISNA(MATCH($C341,Estoque!$A$6:$A$45,0)),"⚠ Código não encontrado",IF(AND(OR($B341="Retorno de sobra",$B341="Saída de sobra"),$G341=""),"⚠ Escolha a medida da sobra",IF(AND(OR($B341="Entrada",$B341="Saída"),$H341=""),"⚠ Informe a quantidade","OK"))))</f>
        <v/>
      </c>
    </row>
    <row r="342" customFormat="false" ht="15" hidden="false" customHeight="false" outlineLevel="0" collapsed="false">
      <c r="A342" s="22"/>
      <c r="B342" s="18"/>
      <c r="C342" s="18"/>
      <c r="D342" s="19" t="str">
        <f aca="false">IF($C342="","",IFERROR(INDEX(Estoque!$C$6:$C$45,MATCH($C342,Estoque!$A$6:$A$45,0)),"Código não encontrado"))</f>
        <v/>
      </c>
      <c r="E342" s="19" t="str">
        <f aca="false">IF($C342="","",IFERROR(INDEX(Estoque!$B$6:$B$45,MATCH($C342,Estoque!$A$6:$A$45,0)),"Código não encontrado"))</f>
        <v/>
      </c>
      <c r="F342" s="18"/>
      <c r="G342" s="18"/>
      <c r="H342" s="18"/>
      <c r="I342" s="20" t="str">
        <f aca="false">IF(OR($B342="",$C342=""),"",IF(OR($B342="Retorno de sobra",$B342="Saída de sobra"),IFERROR(VLOOKUP($G342,Listas!$A$2:$B$5,2,FALSE()),0)*IF($H342="",1,$H342),$H342))</f>
        <v/>
      </c>
      <c r="J342" s="21" t="str">
        <f aca="false">IF($C342="","",IF(ISNA(MATCH($C342,Estoque!$A$6:$A$45,0)),"⚠ Código não encontrado",IF(AND(OR($B342="Retorno de sobra",$B342="Saída de sobra"),$G342=""),"⚠ Escolha a medida da sobra",IF(AND(OR($B342="Entrada",$B342="Saída"),$H342=""),"⚠ Informe a quantidade","OK"))))</f>
        <v/>
      </c>
    </row>
    <row r="343" customFormat="false" ht="15" hidden="false" customHeight="false" outlineLevel="0" collapsed="false">
      <c r="A343" s="22"/>
      <c r="B343" s="18"/>
      <c r="C343" s="18"/>
      <c r="D343" s="19" t="str">
        <f aca="false">IF($C343="","",IFERROR(INDEX(Estoque!$C$6:$C$45,MATCH($C343,Estoque!$A$6:$A$45,0)),"Código não encontrado"))</f>
        <v/>
      </c>
      <c r="E343" s="19" t="str">
        <f aca="false">IF($C343="","",IFERROR(INDEX(Estoque!$B$6:$B$45,MATCH($C343,Estoque!$A$6:$A$45,0)),"Código não encontrado"))</f>
        <v/>
      </c>
      <c r="F343" s="18"/>
      <c r="G343" s="18"/>
      <c r="H343" s="18"/>
      <c r="I343" s="20" t="str">
        <f aca="false">IF(OR($B343="",$C343=""),"",IF(OR($B343="Retorno de sobra",$B343="Saída de sobra"),IFERROR(VLOOKUP($G343,Listas!$A$2:$B$5,2,FALSE()),0)*IF($H343="",1,$H343),$H343))</f>
        <v/>
      </c>
      <c r="J343" s="21" t="str">
        <f aca="false">IF($C343="","",IF(ISNA(MATCH($C343,Estoque!$A$6:$A$45,0)),"⚠ Código não encontrado",IF(AND(OR($B343="Retorno de sobra",$B343="Saída de sobra"),$G343=""),"⚠ Escolha a medida da sobra",IF(AND(OR($B343="Entrada",$B343="Saída"),$H343=""),"⚠ Informe a quantidade","OK"))))</f>
        <v/>
      </c>
    </row>
    <row r="344" customFormat="false" ht="15" hidden="false" customHeight="false" outlineLevel="0" collapsed="false">
      <c r="A344" s="22"/>
      <c r="B344" s="18"/>
      <c r="C344" s="18"/>
      <c r="D344" s="19" t="str">
        <f aca="false">IF($C344="","",IFERROR(INDEX(Estoque!$C$6:$C$45,MATCH($C344,Estoque!$A$6:$A$45,0)),"Código não encontrado"))</f>
        <v/>
      </c>
      <c r="E344" s="19" t="str">
        <f aca="false">IF($C344="","",IFERROR(INDEX(Estoque!$B$6:$B$45,MATCH($C344,Estoque!$A$6:$A$45,0)),"Código não encontrado"))</f>
        <v/>
      </c>
      <c r="F344" s="18"/>
      <c r="G344" s="18"/>
      <c r="H344" s="18"/>
      <c r="I344" s="20" t="str">
        <f aca="false">IF(OR($B344="",$C344=""),"",IF(OR($B344="Retorno de sobra",$B344="Saída de sobra"),IFERROR(VLOOKUP($G344,Listas!$A$2:$B$5,2,FALSE()),0)*IF($H344="",1,$H344),$H344))</f>
        <v/>
      </c>
      <c r="J344" s="21" t="str">
        <f aca="false">IF($C344="","",IF(ISNA(MATCH($C344,Estoque!$A$6:$A$45,0)),"⚠ Código não encontrado",IF(AND(OR($B344="Retorno de sobra",$B344="Saída de sobra"),$G344=""),"⚠ Escolha a medida da sobra",IF(AND(OR($B344="Entrada",$B344="Saída"),$H344=""),"⚠ Informe a quantidade","OK"))))</f>
        <v/>
      </c>
    </row>
    <row r="345" customFormat="false" ht="15" hidden="false" customHeight="false" outlineLevel="0" collapsed="false">
      <c r="A345" s="22"/>
      <c r="B345" s="18"/>
      <c r="C345" s="18"/>
      <c r="D345" s="19" t="str">
        <f aca="false">IF($C345="","",IFERROR(INDEX(Estoque!$C$6:$C$45,MATCH($C345,Estoque!$A$6:$A$45,0)),"Código não encontrado"))</f>
        <v/>
      </c>
      <c r="E345" s="19" t="str">
        <f aca="false">IF($C345="","",IFERROR(INDEX(Estoque!$B$6:$B$45,MATCH($C345,Estoque!$A$6:$A$45,0)),"Código não encontrado"))</f>
        <v/>
      </c>
      <c r="F345" s="18"/>
      <c r="G345" s="18"/>
      <c r="H345" s="18"/>
      <c r="I345" s="20" t="str">
        <f aca="false">IF(OR($B345="",$C345=""),"",IF(OR($B345="Retorno de sobra",$B345="Saída de sobra"),IFERROR(VLOOKUP($G345,Listas!$A$2:$B$5,2,FALSE()),0)*IF($H345="",1,$H345),$H345))</f>
        <v/>
      </c>
      <c r="J345" s="21" t="str">
        <f aca="false">IF($C345="","",IF(ISNA(MATCH($C345,Estoque!$A$6:$A$45,0)),"⚠ Código não encontrado",IF(AND(OR($B345="Retorno de sobra",$B345="Saída de sobra"),$G345=""),"⚠ Escolha a medida da sobra",IF(AND(OR($B345="Entrada",$B345="Saída"),$H345=""),"⚠ Informe a quantidade","OK"))))</f>
        <v/>
      </c>
    </row>
    <row r="346" customFormat="false" ht="15" hidden="false" customHeight="false" outlineLevel="0" collapsed="false">
      <c r="A346" s="22"/>
      <c r="B346" s="18"/>
      <c r="C346" s="18"/>
      <c r="D346" s="19" t="str">
        <f aca="false">IF($C346="","",IFERROR(INDEX(Estoque!$C$6:$C$45,MATCH($C346,Estoque!$A$6:$A$45,0)),"Código não encontrado"))</f>
        <v/>
      </c>
      <c r="E346" s="19" t="str">
        <f aca="false">IF($C346="","",IFERROR(INDEX(Estoque!$B$6:$B$45,MATCH($C346,Estoque!$A$6:$A$45,0)),"Código não encontrado"))</f>
        <v/>
      </c>
      <c r="F346" s="18"/>
      <c r="G346" s="18"/>
      <c r="H346" s="18"/>
      <c r="I346" s="20" t="str">
        <f aca="false">IF(OR($B346="",$C346=""),"",IF(OR($B346="Retorno de sobra",$B346="Saída de sobra"),IFERROR(VLOOKUP($G346,Listas!$A$2:$B$5,2,FALSE()),0)*IF($H346="",1,$H346),$H346))</f>
        <v/>
      </c>
      <c r="J346" s="21" t="str">
        <f aca="false">IF($C346="","",IF(ISNA(MATCH($C346,Estoque!$A$6:$A$45,0)),"⚠ Código não encontrado",IF(AND(OR($B346="Retorno de sobra",$B346="Saída de sobra"),$G346=""),"⚠ Escolha a medida da sobra",IF(AND(OR($B346="Entrada",$B346="Saída"),$H346=""),"⚠ Informe a quantidade","OK"))))</f>
        <v/>
      </c>
    </row>
    <row r="347" customFormat="false" ht="15" hidden="false" customHeight="false" outlineLevel="0" collapsed="false">
      <c r="A347" s="22"/>
      <c r="B347" s="18"/>
      <c r="C347" s="18"/>
      <c r="D347" s="19" t="str">
        <f aca="false">IF($C347="","",IFERROR(INDEX(Estoque!$C$6:$C$45,MATCH($C347,Estoque!$A$6:$A$45,0)),"Código não encontrado"))</f>
        <v/>
      </c>
      <c r="E347" s="19" t="str">
        <f aca="false">IF($C347="","",IFERROR(INDEX(Estoque!$B$6:$B$45,MATCH($C347,Estoque!$A$6:$A$45,0)),"Código não encontrado"))</f>
        <v/>
      </c>
      <c r="F347" s="18"/>
      <c r="G347" s="18"/>
      <c r="H347" s="18"/>
      <c r="I347" s="20" t="str">
        <f aca="false">IF(OR($B347="",$C347=""),"",IF(OR($B347="Retorno de sobra",$B347="Saída de sobra"),IFERROR(VLOOKUP($G347,Listas!$A$2:$B$5,2,FALSE()),0)*IF($H347="",1,$H347),$H347))</f>
        <v/>
      </c>
      <c r="J347" s="21" t="str">
        <f aca="false">IF($C347="","",IF(ISNA(MATCH($C347,Estoque!$A$6:$A$45,0)),"⚠ Código não encontrado",IF(AND(OR($B347="Retorno de sobra",$B347="Saída de sobra"),$G347=""),"⚠ Escolha a medida da sobra",IF(AND(OR($B347="Entrada",$B347="Saída"),$H347=""),"⚠ Informe a quantidade","OK"))))</f>
        <v/>
      </c>
    </row>
    <row r="348" customFormat="false" ht="15" hidden="false" customHeight="false" outlineLevel="0" collapsed="false">
      <c r="A348" s="22"/>
      <c r="B348" s="18"/>
      <c r="C348" s="18"/>
      <c r="D348" s="19" t="str">
        <f aca="false">IF($C348="","",IFERROR(INDEX(Estoque!$C$6:$C$45,MATCH($C348,Estoque!$A$6:$A$45,0)),"Código não encontrado"))</f>
        <v/>
      </c>
      <c r="E348" s="19" t="str">
        <f aca="false">IF($C348="","",IFERROR(INDEX(Estoque!$B$6:$B$45,MATCH($C348,Estoque!$A$6:$A$45,0)),"Código não encontrado"))</f>
        <v/>
      </c>
      <c r="F348" s="18"/>
      <c r="G348" s="18"/>
      <c r="H348" s="18"/>
      <c r="I348" s="20" t="str">
        <f aca="false">IF(OR($B348="",$C348=""),"",IF(OR($B348="Retorno de sobra",$B348="Saída de sobra"),IFERROR(VLOOKUP($G348,Listas!$A$2:$B$5,2,FALSE()),0)*IF($H348="",1,$H348),$H348))</f>
        <v/>
      </c>
      <c r="J348" s="21" t="str">
        <f aca="false">IF($C348="","",IF(ISNA(MATCH($C348,Estoque!$A$6:$A$45,0)),"⚠ Código não encontrado",IF(AND(OR($B348="Retorno de sobra",$B348="Saída de sobra"),$G348=""),"⚠ Escolha a medida da sobra",IF(AND(OR($B348="Entrada",$B348="Saída"),$H348=""),"⚠ Informe a quantidade","OK"))))</f>
        <v/>
      </c>
    </row>
    <row r="349" customFormat="false" ht="15" hidden="false" customHeight="false" outlineLevel="0" collapsed="false">
      <c r="A349" s="22"/>
      <c r="B349" s="18"/>
      <c r="C349" s="18"/>
      <c r="D349" s="19" t="str">
        <f aca="false">IF($C349="","",IFERROR(INDEX(Estoque!$C$6:$C$45,MATCH($C349,Estoque!$A$6:$A$45,0)),"Código não encontrado"))</f>
        <v/>
      </c>
      <c r="E349" s="19" t="str">
        <f aca="false">IF($C349="","",IFERROR(INDEX(Estoque!$B$6:$B$45,MATCH($C349,Estoque!$A$6:$A$45,0)),"Código não encontrado"))</f>
        <v/>
      </c>
      <c r="F349" s="18"/>
      <c r="G349" s="18"/>
      <c r="H349" s="18"/>
      <c r="I349" s="20" t="str">
        <f aca="false">IF(OR($B349="",$C349=""),"",IF(OR($B349="Retorno de sobra",$B349="Saída de sobra"),IFERROR(VLOOKUP($G349,Listas!$A$2:$B$5,2,FALSE()),0)*IF($H349="",1,$H349),$H349))</f>
        <v/>
      </c>
      <c r="J349" s="21" t="str">
        <f aca="false">IF($C349="","",IF(ISNA(MATCH($C349,Estoque!$A$6:$A$45,0)),"⚠ Código não encontrado",IF(AND(OR($B349="Retorno de sobra",$B349="Saída de sobra"),$G349=""),"⚠ Escolha a medida da sobra",IF(AND(OR($B349="Entrada",$B349="Saída"),$H349=""),"⚠ Informe a quantidade","OK"))))</f>
        <v/>
      </c>
    </row>
    <row r="350" customFormat="false" ht="15" hidden="false" customHeight="false" outlineLevel="0" collapsed="false">
      <c r="A350" s="22"/>
      <c r="B350" s="18"/>
      <c r="C350" s="18"/>
      <c r="D350" s="19" t="str">
        <f aca="false">IF($C350="","",IFERROR(INDEX(Estoque!$C$6:$C$45,MATCH($C350,Estoque!$A$6:$A$45,0)),"Código não encontrado"))</f>
        <v/>
      </c>
      <c r="E350" s="19" t="str">
        <f aca="false">IF($C350="","",IFERROR(INDEX(Estoque!$B$6:$B$45,MATCH($C350,Estoque!$A$6:$A$45,0)),"Código não encontrado"))</f>
        <v/>
      </c>
      <c r="F350" s="18"/>
      <c r="G350" s="18"/>
      <c r="H350" s="18"/>
      <c r="I350" s="20" t="str">
        <f aca="false">IF(OR($B350="",$C350=""),"",IF(OR($B350="Retorno de sobra",$B350="Saída de sobra"),IFERROR(VLOOKUP($G350,Listas!$A$2:$B$5,2,FALSE()),0)*IF($H350="",1,$H350),$H350))</f>
        <v/>
      </c>
      <c r="J350" s="21" t="str">
        <f aca="false">IF($C350="","",IF(ISNA(MATCH($C350,Estoque!$A$6:$A$45,0)),"⚠ Código não encontrado",IF(AND(OR($B350="Retorno de sobra",$B350="Saída de sobra"),$G350=""),"⚠ Escolha a medida da sobra",IF(AND(OR($B350="Entrada",$B350="Saída"),$H350=""),"⚠ Informe a quantidade","OK"))))</f>
        <v/>
      </c>
    </row>
    <row r="351" customFormat="false" ht="15" hidden="false" customHeight="false" outlineLevel="0" collapsed="false">
      <c r="A351" s="22"/>
      <c r="B351" s="18"/>
      <c r="C351" s="18"/>
      <c r="D351" s="19" t="str">
        <f aca="false">IF($C351="","",IFERROR(INDEX(Estoque!$C$6:$C$45,MATCH($C351,Estoque!$A$6:$A$45,0)),"Código não encontrado"))</f>
        <v/>
      </c>
      <c r="E351" s="19" t="str">
        <f aca="false">IF($C351="","",IFERROR(INDEX(Estoque!$B$6:$B$45,MATCH($C351,Estoque!$A$6:$A$45,0)),"Código não encontrado"))</f>
        <v/>
      </c>
      <c r="F351" s="18"/>
      <c r="G351" s="18"/>
      <c r="H351" s="18"/>
      <c r="I351" s="20" t="str">
        <f aca="false">IF(OR($B351="",$C351=""),"",IF(OR($B351="Retorno de sobra",$B351="Saída de sobra"),IFERROR(VLOOKUP($G351,Listas!$A$2:$B$5,2,FALSE()),0)*IF($H351="",1,$H351),$H351))</f>
        <v/>
      </c>
      <c r="J351" s="21" t="str">
        <f aca="false">IF($C351="","",IF(ISNA(MATCH($C351,Estoque!$A$6:$A$45,0)),"⚠ Código não encontrado",IF(AND(OR($B351="Retorno de sobra",$B351="Saída de sobra"),$G351=""),"⚠ Escolha a medida da sobra",IF(AND(OR($B351="Entrada",$B351="Saída"),$H351=""),"⚠ Informe a quantidade","OK"))))</f>
        <v/>
      </c>
    </row>
    <row r="352" customFormat="false" ht="15" hidden="false" customHeight="false" outlineLevel="0" collapsed="false">
      <c r="A352" s="22"/>
      <c r="B352" s="18"/>
      <c r="C352" s="18"/>
      <c r="D352" s="19" t="str">
        <f aca="false">IF($C352="","",IFERROR(INDEX(Estoque!$C$6:$C$45,MATCH($C352,Estoque!$A$6:$A$45,0)),"Código não encontrado"))</f>
        <v/>
      </c>
      <c r="E352" s="19" t="str">
        <f aca="false">IF($C352="","",IFERROR(INDEX(Estoque!$B$6:$B$45,MATCH($C352,Estoque!$A$6:$A$45,0)),"Código não encontrado"))</f>
        <v/>
      </c>
      <c r="F352" s="18"/>
      <c r="G352" s="18"/>
      <c r="H352" s="18"/>
      <c r="I352" s="20" t="str">
        <f aca="false">IF(OR($B352="",$C352=""),"",IF(OR($B352="Retorno de sobra",$B352="Saída de sobra"),IFERROR(VLOOKUP($G352,Listas!$A$2:$B$5,2,FALSE()),0)*IF($H352="",1,$H352),$H352))</f>
        <v/>
      </c>
      <c r="J352" s="21" t="str">
        <f aca="false">IF($C352="","",IF(ISNA(MATCH($C352,Estoque!$A$6:$A$45,0)),"⚠ Código não encontrado",IF(AND(OR($B352="Retorno de sobra",$B352="Saída de sobra"),$G352=""),"⚠ Escolha a medida da sobra",IF(AND(OR($B352="Entrada",$B352="Saída"),$H352=""),"⚠ Informe a quantidade","OK"))))</f>
        <v/>
      </c>
    </row>
    <row r="353" customFormat="false" ht="15" hidden="false" customHeight="false" outlineLevel="0" collapsed="false">
      <c r="A353" s="22"/>
      <c r="B353" s="18"/>
      <c r="C353" s="18"/>
      <c r="D353" s="19" t="str">
        <f aca="false">IF($C353="","",IFERROR(INDEX(Estoque!$C$6:$C$45,MATCH($C353,Estoque!$A$6:$A$45,0)),"Código não encontrado"))</f>
        <v/>
      </c>
      <c r="E353" s="19" t="str">
        <f aca="false">IF($C353="","",IFERROR(INDEX(Estoque!$B$6:$B$45,MATCH($C353,Estoque!$A$6:$A$45,0)),"Código não encontrado"))</f>
        <v/>
      </c>
      <c r="F353" s="18"/>
      <c r="G353" s="18"/>
      <c r="H353" s="18"/>
      <c r="I353" s="20" t="str">
        <f aca="false">IF(OR($B353="",$C353=""),"",IF(OR($B353="Retorno de sobra",$B353="Saída de sobra"),IFERROR(VLOOKUP($G353,Listas!$A$2:$B$5,2,FALSE()),0)*IF($H353="",1,$H353),$H353))</f>
        <v/>
      </c>
      <c r="J353" s="21" t="str">
        <f aca="false">IF($C353="","",IF(ISNA(MATCH($C353,Estoque!$A$6:$A$45,0)),"⚠ Código não encontrado",IF(AND(OR($B353="Retorno de sobra",$B353="Saída de sobra"),$G353=""),"⚠ Escolha a medida da sobra",IF(AND(OR($B353="Entrada",$B353="Saída"),$H353=""),"⚠ Informe a quantidade","OK"))))</f>
        <v/>
      </c>
    </row>
    <row r="354" customFormat="false" ht="15" hidden="false" customHeight="false" outlineLevel="0" collapsed="false">
      <c r="A354" s="22"/>
      <c r="B354" s="18"/>
      <c r="C354" s="18"/>
      <c r="D354" s="19" t="str">
        <f aca="false">IF($C354="","",IFERROR(INDEX(Estoque!$C$6:$C$45,MATCH($C354,Estoque!$A$6:$A$45,0)),"Código não encontrado"))</f>
        <v/>
      </c>
      <c r="E354" s="19" t="str">
        <f aca="false">IF($C354="","",IFERROR(INDEX(Estoque!$B$6:$B$45,MATCH($C354,Estoque!$A$6:$A$45,0)),"Código não encontrado"))</f>
        <v/>
      </c>
      <c r="F354" s="18"/>
      <c r="G354" s="18"/>
      <c r="H354" s="18"/>
      <c r="I354" s="20" t="str">
        <f aca="false">IF(OR($B354="",$C354=""),"",IF(OR($B354="Retorno de sobra",$B354="Saída de sobra"),IFERROR(VLOOKUP($G354,Listas!$A$2:$B$5,2,FALSE()),0)*IF($H354="",1,$H354),$H354))</f>
        <v/>
      </c>
      <c r="J354" s="21" t="str">
        <f aca="false">IF($C354="","",IF(ISNA(MATCH($C354,Estoque!$A$6:$A$45,0)),"⚠ Código não encontrado",IF(AND(OR($B354="Retorno de sobra",$B354="Saída de sobra"),$G354=""),"⚠ Escolha a medida da sobra",IF(AND(OR($B354="Entrada",$B354="Saída"),$H354=""),"⚠ Informe a quantidade","OK"))))</f>
        <v/>
      </c>
    </row>
    <row r="355" customFormat="false" ht="15" hidden="false" customHeight="false" outlineLevel="0" collapsed="false">
      <c r="A355" s="22"/>
      <c r="B355" s="18"/>
      <c r="C355" s="18"/>
      <c r="D355" s="19" t="str">
        <f aca="false">IF($C355="","",IFERROR(INDEX(Estoque!$C$6:$C$45,MATCH($C355,Estoque!$A$6:$A$45,0)),"Código não encontrado"))</f>
        <v/>
      </c>
      <c r="E355" s="19" t="str">
        <f aca="false">IF($C355="","",IFERROR(INDEX(Estoque!$B$6:$B$45,MATCH($C355,Estoque!$A$6:$A$45,0)),"Código não encontrado"))</f>
        <v/>
      </c>
      <c r="F355" s="18"/>
      <c r="G355" s="18"/>
      <c r="H355" s="18"/>
      <c r="I355" s="20" t="str">
        <f aca="false">IF(OR($B355="",$C355=""),"",IF(OR($B355="Retorno de sobra",$B355="Saída de sobra"),IFERROR(VLOOKUP($G355,Listas!$A$2:$B$5,2,FALSE()),0)*IF($H355="",1,$H355),$H355))</f>
        <v/>
      </c>
      <c r="J355" s="21" t="str">
        <f aca="false">IF($C355="","",IF(ISNA(MATCH($C355,Estoque!$A$6:$A$45,0)),"⚠ Código não encontrado",IF(AND(OR($B355="Retorno de sobra",$B355="Saída de sobra"),$G355=""),"⚠ Escolha a medida da sobra",IF(AND(OR($B355="Entrada",$B355="Saída"),$H355=""),"⚠ Informe a quantidade","OK"))))</f>
        <v/>
      </c>
    </row>
    <row r="356" customFormat="false" ht="15" hidden="false" customHeight="false" outlineLevel="0" collapsed="false">
      <c r="A356" s="22"/>
      <c r="B356" s="18"/>
      <c r="C356" s="18"/>
      <c r="D356" s="19" t="str">
        <f aca="false">IF($C356="","",IFERROR(INDEX(Estoque!$C$6:$C$45,MATCH($C356,Estoque!$A$6:$A$45,0)),"Código não encontrado"))</f>
        <v/>
      </c>
      <c r="E356" s="19" t="str">
        <f aca="false">IF($C356="","",IFERROR(INDEX(Estoque!$B$6:$B$45,MATCH($C356,Estoque!$A$6:$A$45,0)),"Código não encontrado"))</f>
        <v/>
      </c>
      <c r="F356" s="18"/>
      <c r="G356" s="18"/>
      <c r="H356" s="18"/>
      <c r="I356" s="20" t="str">
        <f aca="false">IF(OR($B356="",$C356=""),"",IF(OR($B356="Retorno de sobra",$B356="Saída de sobra"),IFERROR(VLOOKUP($G356,Listas!$A$2:$B$5,2,FALSE()),0)*IF($H356="",1,$H356),$H356))</f>
        <v/>
      </c>
      <c r="J356" s="21" t="str">
        <f aca="false">IF($C356="","",IF(ISNA(MATCH($C356,Estoque!$A$6:$A$45,0)),"⚠ Código não encontrado",IF(AND(OR($B356="Retorno de sobra",$B356="Saída de sobra"),$G356=""),"⚠ Escolha a medida da sobra",IF(AND(OR($B356="Entrada",$B356="Saída"),$H356=""),"⚠ Informe a quantidade","OK"))))</f>
        <v/>
      </c>
    </row>
    <row r="357" customFormat="false" ht="15" hidden="false" customHeight="false" outlineLevel="0" collapsed="false">
      <c r="A357" s="22"/>
      <c r="B357" s="18"/>
      <c r="C357" s="18"/>
      <c r="D357" s="19" t="str">
        <f aca="false">IF($C357="","",IFERROR(INDEX(Estoque!$C$6:$C$45,MATCH($C357,Estoque!$A$6:$A$45,0)),"Código não encontrado"))</f>
        <v/>
      </c>
      <c r="E357" s="19" t="str">
        <f aca="false">IF($C357="","",IFERROR(INDEX(Estoque!$B$6:$B$45,MATCH($C357,Estoque!$A$6:$A$45,0)),"Código não encontrado"))</f>
        <v/>
      </c>
      <c r="F357" s="18"/>
      <c r="G357" s="18"/>
      <c r="H357" s="18"/>
      <c r="I357" s="20" t="str">
        <f aca="false">IF(OR($B357="",$C357=""),"",IF(OR($B357="Retorno de sobra",$B357="Saída de sobra"),IFERROR(VLOOKUP($G357,Listas!$A$2:$B$5,2,FALSE()),0)*IF($H357="",1,$H357),$H357))</f>
        <v/>
      </c>
      <c r="J357" s="21" t="str">
        <f aca="false">IF($C357="","",IF(ISNA(MATCH($C357,Estoque!$A$6:$A$45,0)),"⚠ Código não encontrado",IF(AND(OR($B357="Retorno de sobra",$B357="Saída de sobra"),$G357=""),"⚠ Escolha a medida da sobra",IF(AND(OR($B357="Entrada",$B357="Saída"),$H357=""),"⚠ Informe a quantidade","OK"))))</f>
        <v/>
      </c>
    </row>
    <row r="358" customFormat="false" ht="15" hidden="false" customHeight="false" outlineLevel="0" collapsed="false">
      <c r="A358" s="22"/>
      <c r="B358" s="18"/>
      <c r="C358" s="18"/>
      <c r="D358" s="19" t="str">
        <f aca="false">IF($C358="","",IFERROR(INDEX(Estoque!$C$6:$C$45,MATCH($C358,Estoque!$A$6:$A$45,0)),"Código não encontrado"))</f>
        <v/>
      </c>
      <c r="E358" s="19" t="str">
        <f aca="false">IF($C358="","",IFERROR(INDEX(Estoque!$B$6:$B$45,MATCH($C358,Estoque!$A$6:$A$45,0)),"Código não encontrado"))</f>
        <v/>
      </c>
      <c r="F358" s="18"/>
      <c r="G358" s="18"/>
      <c r="H358" s="18"/>
      <c r="I358" s="20" t="str">
        <f aca="false">IF(OR($B358="",$C358=""),"",IF(OR($B358="Retorno de sobra",$B358="Saída de sobra"),IFERROR(VLOOKUP($G358,Listas!$A$2:$B$5,2,FALSE()),0)*IF($H358="",1,$H358),$H358))</f>
        <v/>
      </c>
      <c r="J358" s="21" t="str">
        <f aca="false">IF($C358="","",IF(ISNA(MATCH($C358,Estoque!$A$6:$A$45,0)),"⚠ Código não encontrado",IF(AND(OR($B358="Retorno de sobra",$B358="Saída de sobra"),$G358=""),"⚠ Escolha a medida da sobra",IF(AND(OR($B358="Entrada",$B358="Saída"),$H358=""),"⚠ Informe a quantidade","OK"))))</f>
        <v/>
      </c>
    </row>
    <row r="359" customFormat="false" ht="15" hidden="false" customHeight="false" outlineLevel="0" collapsed="false">
      <c r="A359" s="22"/>
      <c r="B359" s="18"/>
      <c r="C359" s="18"/>
      <c r="D359" s="19" t="str">
        <f aca="false">IF($C359="","",IFERROR(INDEX(Estoque!$C$6:$C$45,MATCH($C359,Estoque!$A$6:$A$45,0)),"Código não encontrado"))</f>
        <v/>
      </c>
      <c r="E359" s="19" t="str">
        <f aca="false">IF($C359="","",IFERROR(INDEX(Estoque!$B$6:$B$45,MATCH($C359,Estoque!$A$6:$A$45,0)),"Código não encontrado"))</f>
        <v/>
      </c>
      <c r="F359" s="18"/>
      <c r="G359" s="18"/>
      <c r="H359" s="18"/>
      <c r="I359" s="20" t="str">
        <f aca="false">IF(OR($B359="",$C359=""),"",IF(OR($B359="Retorno de sobra",$B359="Saída de sobra"),IFERROR(VLOOKUP($G359,Listas!$A$2:$B$5,2,FALSE()),0)*IF($H359="",1,$H359),$H359))</f>
        <v/>
      </c>
      <c r="J359" s="21" t="str">
        <f aca="false">IF($C359="","",IF(ISNA(MATCH($C359,Estoque!$A$6:$A$45,0)),"⚠ Código não encontrado",IF(AND(OR($B359="Retorno de sobra",$B359="Saída de sobra"),$G359=""),"⚠ Escolha a medida da sobra",IF(AND(OR($B359="Entrada",$B359="Saída"),$H359=""),"⚠ Informe a quantidade","OK"))))</f>
        <v/>
      </c>
    </row>
    <row r="360" customFormat="false" ht="15" hidden="false" customHeight="false" outlineLevel="0" collapsed="false">
      <c r="A360" s="22"/>
      <c r="B360" s="18"/>
      <c r="C360" s="18"/>
      <c r="D360" s="19" t="str">
        <f aca="false">IF($C360="","",IFERROR(INDEX(Estoque!$C$6:$C$45,MATCH($C360,Estoque!$A$6:$A$45,0)),"Código não encontrado"))</f>
        <v/>
      </c>
      <c r="E360" s="19" t="str">
        <f aca="false">IF($C360="","",IFERROR(INDEX(Estoque!$B$6:$B$45,MATCH($C360,Estoque!$A$6:$A$45,0)),"Código não encontrado"))</f>
        <v/>
      </c>
      <c r="F360" s="18"/>
      <c r="G360" s="18"/>
      <c r="H360" s="18"/>
      <c r="I360" s="20" t="str">
        <f aca="false">IF(OR($B360="",$C360=""),"",IF(OR($B360="Retorno de sobra",$B360="Saída de sobra"),IFERROR(VLOOKUP($G360,Listas!$A$2:$B$5,2,FALSE()),0)*IF($H360="",1,$H360),$H360))</f>
        <v/>
      </c>
      <c r="J360" s="21" t="str">
        <f aca="false">IF($C360="","",IF(ISNA(MATCH($C360,Estoque!$A$6:$A$45,0)),"⚠ Código não encontrado",IF(AND(OR($B360="Retorno de sobra",$B360="Saída de sobra"),$G360=""),"⚠ Escolha a medida da sobra",IF(AND(OR($B360="Entrada",$B360="Saída"),$H360=""),"⚠ Informe a quantidade","OK"))))</f>
        <v/>
      </c>
    </row>
    <row r="361" customFormat="false" ht="15" hidden="false" customHeight="false" outlineLevel="0" collapsed="false">
      <c r="A361" s="22"/>
      <c r="B361" s="18"/>
      <c r="C361" s="18"/>
      <c r="D361" s="19" t="str">
        <f aca="false">IF($C361="","",IFERROR(INDEX(Estoque!$C$6:$C$45,MATCH($C361,Estoque!$A$6:$A$45,0)),"Código não encontrado"))</f>
        <v/>
      </c>
      <c r="E361" s="19" t="str">
        <f aca="false">IF($C361="","",IFERROR(INDEX(Estoque!$B$6:$B$45,MATCH($C361,Estoque!$A$6:$A$45,0)),"Código não encontrado"))</f>
        <v/>
      </c>
      <c r="F361" s="18"/>
      <c r="G361" s="18"/>
      <c r="H361" s="18"/>
      <c r="I361" s="20" t="str">
        <f aca="false">IF(OR($B361="",$C361=""),"",IF(OR($B361="Retorno de sobra",$B361="Saída de sobra"),IFERROR(VLOOKUP($G361,Listas!$A$2:$B$5,2,FALSE()),0)*IF($H361="",1,$H361),$H361))</f>
        <v/>
      </c>
      <c r="J361" s="21" t="str">
        <f aca="false">IF($C361="","",IF(ISNA(MATCH($C361,Estoque!$A$6:$A$45,0)),"⚠ Código não encontrado",IF(AND(OR($B361="Retorno de sobra",$B361="Saída de sobra"),$G361=""),"⚠ Escolha a medida da sobra",IF(AND(OR($B361="Entrada",$B361="Saída"),$H361=""),"⚠ Informe a quantidade","OK"))))</f>
        <v/>
      </c>
    </row>
    <row r="362" customFormat="false" ht="15" hidden="false" customHeight="false" outlineLevel="0" collapsed="false">
      <c r="A362" s="22"/>
      <c r="B362" s="18"/>
      <c r="C362" s="18"/>
      <c r="D362" s="19" t="str">
        <f aca="false">IF($C362="","",IFERROR(INDEX(Estoque!$C$6:$C$45,MATCH($C362,Estoque!$A$6:$A$45,0)),"Código não encontrado"))</f>
        <v/>
      </c>
      <c r="E362" s="19" t="str">
        <f aca="false">IF($C362="","",IFERROR(INDEX(Estoque!$B$6:$B$45,MATCH($C362,Estoque!$A$6:$A$45,0)),"Código não encontrado"))</f>
        <v/>
      </c>
      <c r="F362" s="18"/>
      <c r="G362" s="18"/>
      <c r="H362" s="18"/>
      <c r="I362" s="20" t="str">
        <f aca="false">IF(OR($B362="",$C362=""),"",IF(OR($B362="Retorno de sobra",$B362="Saída de sobra"),IFERROR(VLOOKUP($G362,Listas!$A$2:$B$5,2,FALSE()),0)*IF($H362="",1,$H362),$H362))</f>
        <v/>
      </c>
      <c r="J362" s="21" t="str">
        <f aca="false">IF($C362="","",IF(ISNA(MATCH($C362,Estoque!$A$6:$A$45,0)),"⚠ Código não encontrado",IF(AND(OR($B362="Retorno de sobra",$B362="Saída de sobra"),$G362=""),"⚠ Escolha a medida da sobra",IF(AND(OR($B362="Entrada",$B362="Saída"),$H362=""),"⚠ Informe a quantidade","OK"))))</f>
        <v/>
      </c>
    </row>
    <row r="363" customFormat="false" ht="15" hidden="false" customHeight="false" outlineLevel="0" collapsed="false">
      <c r="A363" s="22"/>
      <c r="B363" s="18"/>
      <c r="C363" s="18"/>
      <c r="D363" s="19" t="str">
        <f aca="false">IF($C363="","",IFERROR(INDEX(Estoque!$C$6:$C$45,MATCH($C363,Estoque!$A$6:$A$45,0)),"Código não encontrado"))</f>
        <v/>
      </c>
      <c r="E363" s="19" t="str">
        <f aca="false">IF($C363="","",IFERROR(INDEX(Estoque!$B$6:$B$45,MATCH($C363,Estoque!$A$6:$A$45,0)),"Código não encontrado"))</f>
        <v/>
      </c>
      <c r="F363" s="18"/>
      <c r="G363" s="18"/>
      <c r="H363" s="18"/>
      <c r="I363" s="20" t="str">
        <f aca="false">IF(OR($B363="",$C363=""),"",IF(OR($B363="Retorno de sobra",$B363="Saída de sobra"),IFERROR(VLOOKUP($G363,Listas!$A$2:$B$5,2,FALSE()),0)*IF($H363="",1,$H363),$H363))</f>
        <v/>
      </c>
      <c r="J363" s="21" t="str">
        <f aca="false">IF($C363="","",IF(ISNA(MATCH($C363,Estoque!$A$6:$A$45,0)),"⚠ Código não encontrado",IF(AND(OR($B363="Retorno de sobra",$B363="Saída de sobra"),$G363=""),"⚠ Escolha a medida da sobra",IF(AND(OR($B363="Entrada",$B363="Saída"),$H363=""),"⚠ Informe a quantidade","OK"))))</f>
        <v/>
      </c>
    </row>
    <row r="364" customFormat="false" ht="15" hidden="false" customHeight="false" outlineLevel="0" collapsed="false">
      <c r="A364" s="22"/>
      <c r="B364" s="18"/>
      <c r="C364" s="18"/>
      <c r="D364" s="19" t="str">
        <f aca="false">IF($C364="","",IFERROR(INDEX(Estoque!$C$6:$C$45,MATCH($C364,Estoque!$A$6:$A$45,0)),"Código não encontrado"))</f>
        <v/>
      </c>
      <c r="E364" s="19" t="str">
        <f aca="false">IF($C364="","",IFERROR(INDEX(Estoque!$B$6:$B$45,MATCH($C364,Estoque!$A$6:$A$45,0)),"Código não encontrado"))</f>
        <v/>
      </c>
      <c r="F364" s="18"/>
      <c r="G364" s="18"/>
      <c r="H364" s="18"/>
      <c r="I364" s="20" t="str">
        <f aca="false">IF(OR($B364="",$C364=""),"",IF(OR($B364="Retorno de sobra",$B364="Saída de sobra"),IFERROR(VLOOKUP($G364,Listas!$A$2:$B$5,2,FALSE()),0)*IF($H364="",1,$H364),$H364))</f>
        <v/>
      </c>
      <c r="J364" s="21" t="str">
        <f aca="false">IF($C364="","",IF(ISNA(MATCH($C364,Estoque!$A$6:$A$45,0)),"⚠ Código não encontrado",IF(AND(OR($B364="Retorno de sobra",$B364="Saída de sobra"),$G364=""),"⚠ Escolha a medida da sobra",IF(AND(OR($B364="Entrada",$B364="Saída"),$H364=""),"⚠ Informe a quantidade","OK"))))</f>
        <v/>
      </c>
    </row>
    <row r="365" customFormat="false" ht="15" hidden="false" customHeight="false" outlineLevel="0" collapsed="false">
      <c r="A365" s="22"/>
      <c r="B365" s="18"/>
      <c r="C365" s="18"/>
      <c r="D365" s="19" t="str">
        <f aca="false">IF($C365="","",IFERROR(INDEX(Estoque!$C$6:$C$45,MATCH($C365,Estoque!$A$6:$A$45,0)),"Código não encontrado"))</f>
        <v/>
      </c>
      <c r="E365" s="19" t="str">
        <f aca="false">IF($C365="","",IFERROR(INDEX(Estoque!$B$6:$B$45,MATCH($C365,Estoque!$A$6:$A$45,0)),"Código não encontrado"))</f>
        <v/>
      </c>
      <c r="F365" s="18"/>
      <c r="G365" s="18"/>
      <c r="H365" s="18"/>
      <c r="I365" s="20" t="str">
        <f aca="false">IF(OR($B365="",$C365=""),"",IF(OR($B365="Retorno de sobra",$B365="Saída de sobra"),IFERROR(VLOOKUP($G365,Listas!$A$2:$B$5,2,FALSE()),0)*IF($H365="",1,$H365),$H365))</f>
        <v/>
      </c>
      <c r="J365" s="21" t="str">
        <f aca="false">IF($C365="","",IF(ISNA(MATCH($C365,Estoque!$A$6:$A$45,0)),"⚠ Código não encontrado",IF(AND(OR($B365="Retorno de sobra",$B365="Saída de sobra"),$G365=""),"⚠ Escolha a medida da sobra",IF(AND(OR($B365="Entrada",$B365="Saída"),$H365=""),"⚠ Informe a quantidade","OK"))))</f>
        <v/>
      </c>
    </row>
    <row r="366" customFormat="false" ht="15" hidden="false" customHeight="false" outlineLevel="0" collapsed="false">
      <c r="A366" s="22"/>
      <c r="B366" s="18"/>
      <c r="C366" s="18"/>
      <c r="D366" s="19" t="str">
        <f aca="false">IF($C366="","",IFERROR(INDEX(Estoque!$C$6:$C$45,MATCH($C366,Estoque!$A$6:$A$45,0)),"Código não encontrado"))</f>
        <v/>
      </c>
      <c r="E366" s="19" t="str">
        <f aca="false">IF($C366="","",IFERROR(INDEX(Estoque!$B$6:$B$45,MATCH($C366,Estoque!$A$6:$A$45,0)),"Código não encontrado"))</f>
        <v/>
      </c>
      <c r="F366" s="18"/>
      <c r="G366" s="18"/>
      <c r="H366" s="18"/>
      <c r="I366" s="20" t="str">
        <f aca="false">IF(OR($B366="",$C366=""),"",IF(OR($B366="Retorno de sobra",$B366="Saída de sobra"),IFERROR(VLOOKUP($G366,Listas!$A$2:$B$5,2,FALSE()),0)*IF($H366="",1,$H366),$H366))</f>
        <v/>
      </c>
      <c r="J366" s="21" t="str">
        <f aca="false">IF($C366="","",IF(ISNA(MATCH($C366,Estoque!$A$6:$A$45,0)),"⚠ Código não encontrado",IF(AND(OR($B366="Retorno de sobra",$B366="Saída de sobra"),$G366=""),"⚠ Escolha a medida da sobra",IF(AND(OR($B366="Entrada",$B366="Saída"),$H366=""),"⚠ Informe a quantidade","OK"))))</f>
        <v/>
      </c>
    </row>
    <row r="367" customFormat="false" ht="15" hidden="false" customHeight="false" outlineLevel="0" collapsed="false">
      <c r="A367" s="22"/>
      <c r="B367" s="18"/>
      <c r="C367" s="18"/>
      <c r="D367" s="19" t="str">
        <f aca="false">IF($C367="","",IFERROR(INDEX(Estoque!$C$6:$C$45,MATCH($C367,Estoque!$A$6:$A$45,0)),"Código não encontrado"))</f>
        <v/>
      </c>
      <c r="E367" s="19" t="str">
        <f aca="false">IF($C367="","",IFERROR(INDEX(Estoque!$B$6:$B$45,MATCH($C367,Estoque!$A$6:$A$45,0)),"Código não encontrado"))</f>
        <v/>
      </c>
      <c r="F367" s="18"/>
      <c r="G367" s="18"/>
      <c r="H367" s="18"/>
      <c r="I367" s="20" t="str">
        <f aca="false">IF(OR($B367="",$C367=""),"",IF(OR($B367="Retorno de sobra",$B367="Saída de sobra"),IFERROR(VLOOKUP($G367,Listas!$A$2:$B$5,2,FALSE()),0)*IF($H367="",1,$H367),$H367))</f>
        <v/>
      </c>
      <c r="J367" s="21" t="str">
        <f aca="false">IF($C367="","",IF(ISNA(MATCH($C367,Estoque!$A$6:$A$45,0)),"⚠ Código não encontrado",IF(AND(OR($B367="Retorno de sobra",$B367="Saída de sobra"),$G367=""),"⚠ Escolha a medida da sobra",IF(AND(OR($B367="Entrada",$B367="Saída"),$H367=""),"⚠ Informe a quantidade","OK"))))</f>
        <v/>
      </c>
    </row>
    <row r="368" customFormat="false" ht="15" hidden="false" customHeight="false" outlineLevel="0" collapsed="false">
      <c r="A368" s="22"/>
      <c r="B368" s="18"/>
      <c r="C368" s="18"/>
      <c r="D368" s="19" t="str">
        <f aca="false">IF($C368="","",IFERROR(INDEX(Estoque!$C$6:$C$45,MATCH($C368,Estoque!$A$6:$A$45,0)),"Código não encontrado"))</f>
        <v/>
      </c>
      <c r="E368" s="19" t="str">
        <f aca="false">IF($C368="","",IFERROR(INDEX(Estoque!$B$6:$B$45,MATCH($C368,Estoque!$A$6:$A$45,0)),"Código não encontrado"))</f>
        <v/>
      </c>
      <c r="F368" s="18"/>
      <c r="G368" s="18"/>
      <c r="H368" s="18"/>
      <c r="I368" s="20" t="str">
        <f aca="false">IF(OR($B368="",$C368=""),"",IF(OR($B368="Retorno de sobra",$B368="Saída de sobra"),IFERROR(VLOOKUP($G368,Listas!$A$2:$B$5,2,FALSE()),0)*IF($H368="",1,$H368),$H368))</f>
        <v/>
      </c>
      <c r="J368" s="21" t="str">
        <f aca="false">IF($C368="","",IF(ISNA(MATCH($C368,Estoque!$A$6:$A$45,0)),"⚠ Código não encontrado",IF(AND(OR($B368="Retorno de sobra",$B368="Saída de sobra"),$G368=""),"⚠ Escolha a medida da sobra",IF(AND(OR($B368="Entrada",$B368="Saída"),$H368=""),"⚠ Informe a quantidade","OK"))))</f>
        <v/>
      </c>
    </row>
    <row r="369" customFormat="false" ht="15" hidden="false" customHeight="false" outlineLevel="0" collapsed="false">
      <c r="A369" s="22"/>
      <c r="B369" s="18"/>
      <c r="C369" s="18"/>
      <c r="D369" s="19" t="str">
        <f aca="false">IF($C369="","",IFERROR(INDEX(Estoque!$C$6:$C$45,MATCH($C369,Estoque!$A$6:$A$45,0)),"Código não encontrado"))</f>
        <v/>
      </c>
      <c r="E369" s="19" t="str">
        <f aca="false">IF($C369="","",IFERROR(INDEX(Estoque!$B$6:$B$45,MATCH($C369,Estoque!$A$6:$A$45,0)),"Código não encontrado"))</f>
        <v/>
      </c>
      <c r="F369" s="18"/>
      <c r="G369" s="18"/>
      <c r="H369" s="18"/>
      <c r="I369" s="20" t="str">
        <f aca="false">IF(OR($B369="",$C369=""),"",IF(OR($B369="Retorno de sobra",$B369="Saída de sobra"),IFERROR(VLOOKUP($G369,Listas!$A$2:$B$5,2,FALSE()),0)*IF($H369="",1,$H369),$H369))</f>
        <v/>
      </c>
      <c r="J369" s="21" t="str">
        <f aca="false">IF($C369="","",IF(ISNA(MATCH($C369,Estoque!$A$6:$A$45,0)),"⚠ Código não encontrado",IF(AND(OR($B369="Retorno de sobra",$B369="Saída de sobra"),$G369=""),"⚠ Escolha a medida da sobra",IF(AND(OR($B369="Entrada",$B369="Saída"),$H369=""),"⚠ Informe a quantidade","OK"))))</f>
        <v/>
      </c>
    </row>
    <row r="370" customFormat="false" ht="15" hidden="false" customHeight="false" outlineLevel="0" collapsed="false">
      <c r="A370" s="22"/>
      <c r="B370" s="18"/>
      <c r="C370" s="18"/>
      <c r="D370" s="19" t="str">
        <f aca="false">IF($C370="","",IFERROR(INDEX(Estoque!$C$6:$C$45,MATCH($C370,Estoque!$A$6:$A$45,0)),"Código não encontrado"))</f>
        <v/>
      </c>
      <c r="E370" s="19" t="str">
        <f aca="false">IF($C370="","",IFERROR(INDEX(Estoque!$B$6:$B$45,MATCH($C370,Estoque!$A$6:$A$45,0)),"Código não encontrado"))</f>
        <v/>
      </c>
      <c r="F370" s="18"/>
      <c r="G370" s="18"/>
      <c r="H370" s="18"/>
      <c r="I370" s="20" t="str">
        <f aca="false">IF(OR($B370="",$C370=""),"",IF(OR($B370="Retorno de sobra",$B370="Saída de sobra"),IFERROR(VLOOKUP($G370,Listas!$A$2:$B$5,2,FALSE()),0)*IF($H370="",1,$H370),$H370))</f>
        <v/>
      </c>
      <c r="J370" s="21" t="str">
        <f aca="false">IF($C370="","",IF(ISNA(MATCH($C370,Estoque!$A$6:$A$45,0)),"⚠ Código não encontrado",IF(AND(OR($B370="Retorno de sobra",$B370="Saída de sobra"),$G370=""),"⚠ Escolha a medida da sobra",IF(AND(OR($B370="Entrada",$B370="Saída"),$H370=""),"⚠ Informe a quantidade","OK"))))</f>
        <v/>
      </c>
    </row>
    <row r="371" customFormat="false" ht="15" hidden="false" customHeight="false" outlineLevel="0" collapsed="false">
      <c r="A371" s="22"/>
      <c r="B371" s="18"/>
      <c r="C371" s="18"/>
      <c r="D371" s="19" t="str">
        <f aca="false">IF($C371="","",IFERROR(INDEX(Estoque!$C$6:$C$45,MATCH($C371,Estoque!$A$6:$A$45,0)),"Código não encontrado"))</f>
        <v/>
      </c>
      <c r="E371" s="19" t="str">
        <f aca="false">IF($C371="","",IFERROR(INDEX(Estoque!$B$6:$B$45,MATCH($C371,Estoque!$A$6:$A$45,0)),"Código não encontrado"))</f>
        <v/>
      </c>
      <c r="F371" s="18"/>
      <c r="G371" s="18"/>
      <c r="H371" s="18"/>
      <c r="I371" s="20" t="str">
        <f aca="false">IF(OR($B371="",$C371=""),"",IF(OR($B371="Retorno de sobra",$B371="Saída de sobra"),IFERROR(VLOOKUP($G371,Listas!$A$2:$B$5,2,FALSE()),0)*IF($H371="",1,$H371),$H371))</f>
        <v/>
      </c>
      <c r="J371" s="21" t="str">
        <f aca="false">IF($C371="","",IF(ISNA(MATCH($C371,Estoque!$A$6:$A$45,0)),"⚠ Código não encontrado",IF(AND(OR($B371="Retorno de sobra",$B371="Saída de sobra"),$G371=""),"⚠ Escolha a medida da sobra",IF(AND(OR($B371="Entrada",$B371="Saída"),$H371=""),"⚠ Informe a quantidade","OK"))))</f>
        <v/>
      </c>
    </row>
    <row r="372" customFormat="false" ht="15" hidden="false" customHeight="false" outlineLevel="0" collapsed="false">
      <c r="A372" s="22"/>
      <c r="B372" s="18"/>
      <c r="C372" s="18"/>
      <c r="D372" s="19" t="str">
        <f aca="false">IF($C372="","",IFERROR(INDEX(Estoque!$C$6:$C$45,MATCH($C372,Estoque!$A$6:$A$45,0)),"Código não encontrado"))</f>
        <v/>
      </c>
      <c r="E372" s="19" t="str">
        <f aca="false">IF($C372="","",IFERROR(INDEX(Estoque!$B$6:$B$45,MATCH($C372,Estoque!$A$6:$A$45,0)),"Código não encontrado"))</f>
        <v/>
      </c>
      <c r="F372" s="18"/>
      <c r="G372" s="18"/>
      <c r="H372" s="18"/>
      <c r="I372" s="20" t="str">
        <f aca="false">IF(OR($B372="",$C372=""),"",IF(OR($B372="Retorno de sobra",$B372="Saída de sobra"),IFERROR(VLOOKUP($G372,Listas!$A$2:$B$5,2,FALSE()),0)*IF($H372="",1,$H372),$H372))</f>
        <v/>
      </c>
      <c r="J372" s="21" t="str">
        <f aca="false">IF($C372="","",IF(ISNA(MATCH($C372,Estoque!$A$6:$A$45,0)),"⚠ Código não encontrado",IF(AND(OR($B372="Retorno de sobra",$B372="Saída de sobra"),$G372=""),"⚠ Escolha a medida da sobra",IF(AND(OR($B372="Entrada",$B372="Saída"),$H372=""),"⚠ Informe a quantidade","OK"))))</f>
        <v/>
      </c>
    </row>
    <row r="373" customFormat="false" ht="15" hidden="false" customHeight="false" outlineLevel="0" collapsed="false">
      <c r="A373" s="22"/>
      <c r="B373" s="18"/>
      <c r="C373" s="18"/>
      <c r="D373" s="19" t="str">
        <f aca="false">IF($C373="","",IFERROR(INDEX(Estoque!$C$6:$C$45,MATCH($C373,Estoque!$A$6:$A$45,0)),"Código não encontrado"))</f>
        <v/>
      </c>
      <c r="E373" s="19" t="str">
        <f aca="false">IF($C373="","",IFERROR(INDEX(Estoque!$B$6:$B$45,MATCH($C373,Estoque!$A$6:$A$45,0)),"Código não encontrado"))</f>
        <v/>
      </c>
      <c r="F373" s="18"/>
      <c r="G373" s="18"/>
      <c r="H373" s="18"/>
      <c r="I373" s="20" t="str">
        <f aca="false">IF(OR($B373="",$C373=""),"",IF(OR($B373="Retorno de sobra",$B373="Saída de sobra"),IFERROR(VLOOKUP($G373,Listas!$A$2:$B$5,2,FALSE()),0)*IF($H373="",1,$H373),$H373))</f>
        <v/>
      </c>
      <c r="J373" s="21" t="str">
        <f aca="false">IF($C373="","",IF(ISNA(MATCH($C373,Estoque!$A$6:$A$45,0)),"⚠ Código não encontrado",IF(AND(OR($B373="Retorno de sobra",$B373="Saída de sobra"),$G373=""),"⚠ Escolha a medida da sobra",IF(AND(OR($B373="Entrada",$B373="Saída"),$H373=""),"⚠ Informe a quantidade","OK"))))</f>
        <v/>
      </c>
    </row>
    <row r="374" customFormat="false" ht="15" hidden="false" customHeight="false" outlineLevel="0" collapsed="false">
      <c r="A374" s="22"/>
      <c r="B374" s="18"/>
      <c r="C374" s="18"/>
      <c r="D374" s="19" t="str">
        <f aca="false">IF($C374="","",IFERROR(INDEX(Estoque!$C$6:$C$45,MATCH($C374,Estoque!$A$6:$A$45,0)),"Código não encontrado"))</f>
        <v/>
      </c>
      <c r="E374" s="19" t="str">
        <f aca="false">IF($C374="","",IFERROR(INDEX(Estoque!$B$6:$B$45,MATCH($C374,Estoque!$A$6:$A$45,0)),"Código não encontrado"))</f>
        <v/>
      </c>
      <c r="F374" s="18"/>
      <c r="G374" s="18"/>
      <c r="H374" s="18"/>
      <c r="I374" s="20" t="str">
        <f aca="false">IF(OR($B374="",$C374=""),"",IF(OR($B374="Retorno de sobra",$B374="Saída de sobra"),IFERROR(VLOOKUP($G374,Listas!$A$2:$B$5,2,FALSE()),0)*IF($H374="",1,$H374),$H374))</f>
        <v/>
      </c>
      <c r="J374" s="21" t="str">
        <f aca="false">IF($C374="","",IF(ISNA(MATCH($C374,Estoque!$A$6:$A$45,0)),"⚠ Código não encontrado",IF(AND(OR($B374="Retorno de sobra",$B374="Saída de sobra"),$G374=""),"⚠ Escolha a medida da sobra",IF(AND(OR($B374="Entrada",$B374="Saída"),$H374=""),"⚠ Informe a quantidade","OK"))))</f>
        <v/>
      </c>
    </row>
    <row r="375" customFormat="false" ht="15" hidden="false" customHeight="false" outlineLevel="0" collapsed="false">
      <c r="A375" s="22"/>
      <c r="B375" s="18"/>
      <c r="C375" s="18"/>
      <c r="D375" s="19" t="str">
        <f aca="false">IF($C375="","",IFERROR(INDEX(Estoque!$C$6:$C$45,MATCH($C375,Estoque!$A$6:$A$45,0)),"Código não encontrado"))</f>
        <v/>
      </c>
      <c r="E375" s="19" t="str">
        <f aca="false">IF($C375="","",IFERROR(INDEX(Estoque!$B$6:$B$45,MATCH($C375,Estoque!$A$6:$A$45,0)),"Código não encontrado"))</f>
        <v/>
      </c>
      <c r="F375" s="18"/>
      <c r="G375" s="18"/>
      <c r="H375" s="18"/>
      <c r="I375" s="20" t="str">
        <f aca="false">IF(OR($B375="",$C375=""),"",IF(OR($B375="Retorno de sobra",$B375="Saída de sobra"),IFERROR(VLOOKUP($G375,Listas!$A$2:$B$5,2,FALSE()),0)*IF($H375="",1,$H375),$H375))</f>
        <v/>
      </c>
      <c r="J375" s="21" t="str">
        <f aca="false">IF($C375="","",IF(ISNA(MATCH($C375,Estoque!$A$6:$A$45,0)),"⚠ Código não encontrado",IF(AND(OR($B375="Retorno de sobra",$B375="Saída de sobra"),$G375=""),"⚠ Escolha a medida da sobra",IF(AND(OR($B375="Entrada",$B375="Saída"),$H375=""),"⚠ Informe a quantidade","OK"))))</f>
        <v/>
      </c>
    </row>
    <row r="376" customFormat="false" ht="15" hidden="false" customHeight="false" outlineLevel="0" collapsed="false">
      <c r="A376" s="22"/>
      <c r="B376" s="18"/>
      <c r="C376" s="18"/>
      <c r="D376" s="19" t="str">
        <f aca="false">IF($C376="","",IFERROR(INDEX(Estoque!$C$6:$C$45,MATCH($C376,Estoque!$A$6:$A$45,0)),"Código não encontrado"))</f>
        <v/>
      </c>
      <c r="E376" s="19" t="str">
        <f aca="false">IF($C376="","",IFERROR(INDEX(Estoque!$B$6:$B$45,MATCH($C376,Estoque!$A$6:$A$45,0)),"Código não encontrado"))</f>
        <v/>
      </c>
      <c r="F376" s="18"/>
      <c r="G376" s="18"/>
      <c r="H376" s="18"/>
      <c r="I376" s="20" t="str">
        <f aca="false">IF(OR($B376="",$C376=""),"",IF(OR($B376="Retorno de sobra",$B376="Saída de sobra"),IFERROR(VLOOKUP($G376,Listas!$A$2:$B$5,2,FALSE()),0)*IF($H376="",1,$H376),$H376))</f>
        <v/>
      </c>
      <c r="J376" s="21" t="str">
        <f aca="false">IF($C376="","",IF(ISNA(MATCH($C376,Estoque!$A$6:$A$45,0)),"⚠ Código não encontrado",IF(AND(OR($B376="Retorno de sobra",$B376="Saída de sobra"),$G376=""),"⚠ Escolha a medida da sobra",IF(AND(OR($B376="Entrada",$B376="Saída"),$H376=""),"⚠ Informe a quantidade","OK"))))</f>
        <v/>
      </c>
    </row>
    <row r="377" customFormat="false" ht="15" hidden="false" customHeight="false" outlineLevel="0" collapsed="false">
      <c r="A377" s="22"/>
      <c r="B377" s="18"/>
      <c r="C377" s="18"/>
      <c r="D377" s="19" t="str">
        <f aca="false">IF($C377="","",IFERROR(INDEX(Estoque!$C$6:$C$45,MATCH($C377,Estoque!$A$6:$A$45,0)),"Código não encontrado"))</f>
        <v/>
      </c>
      <c r="E377" s="19" t="str">
        <f aca="false">IF($C377="","",IFERROR(INDEX(Estoque!$B$6:$B$45,MATCH($C377,Estoque!$A$6:$A$45,0)),"Código não encontrado"))</f>
        <v/>
      </c>
      <c r="F377" s="18"/>
      <c r="G377" s="18"/>
      <c r="H377" s="18"/>
      <c r="I377" s="20" t="str">
        <f aca="false">IF(OR($B377="",$C377=""),"",IF(OR($B377="Retorno de sobra",$B377="Saída de sobra"),IFERROR(VLOOKUP($G377,Listas!$A$2:$B$5,2,FALSE()),0)*IF($H377="",1,$H377),$H377))</f>
        <v/>
      </c>
      <c r="J377" s="21" t="str">
        <f aca="false">IF($C377="","",IF(ISNA(MATCH($C377,Estoque!$A$6:$A$45,0)),"⚠ Código não encontrado",IF(AND(OR($B377="Retorno de sobra",$B377="Saída de sobra"),$G377=""),"⚠ Escolha a medida da sobra",IF(AND(OR($B377="Entrada",$B377="Saída"),$H377=""),"⚠ Informe a quantidade","OK"))))</f>
        <v/>
      </c>
    </row>
    <row r="378" customFormat="false" ht="15" hidden="false" customHeight="false" outlineLevel="0" collapsed="false">
      <c r="A378" s="22"/>
      <c r="B378" s="18"/>
      <c r="C378" s="18"/>
      <c r="D378" s="19" t="str">
        <f aca="false">IF($C378="","",IFERROR(INDEX(Estoque!$C$6:$C$45,MATCH($C378,Estoque!$A$6:$A$45,0)),"Código não encontrado"))</f>
        <v/>
      </c>
      <c r="E378" s="19" t="str">
        <f aca="false">IF($C378="","",IFERROR(INDEX(Estoque!$B$6:$B$45,MATCH($C378,Estoque!$A$6:$A$45,0)),"Código não encontrado"))</f>
        <v/>
      </c>
      <c r="F378" s="18"/>
      <c r="G378" s="18"/>
      <c r="H378" s="18"/>
      <c r="I378" s="20" t="str">
        <f aca="false">IF(OR($B378="",$C378=""),"",IF(OR($B378="Retorno de sobra",$B378="Saída de sobra"),IFERROR(VLOOKUP($G378,Listas!$A$2:$B$5,2,FALSE()),0)*IF($H378="",1,$H378),$H378))</f>
        <v/>
      </c>
      <c r="J378" s="21" t="str">
        <f aca="false">IF($C378="","",IF(ISNA(MATCH($C378,Estoque!$A$6:$A$45,0)),"⚠ Código não encontrado",IF(AND(OR($B378="Retorno de sobra",$B378="Saída de sobra"),$G378=""),"⚠ Escolha a medida da sobra",IF(AND(OR($B378="Entrada",$B378="Saída"),$H378=""),"⚠ Informe a quantidade","OK"))))</f>
        <v/>
      </c>
    </row>
    <row r="379" customFormat="false" ht="15" hidden="false" customHeight="false" outlineLevel="0" collapsed="false">
      <c r="A379" s="22"/>
      <c r="B379" s="18"/>
      <c r="C379" s="18"/>
      <c r="D379" s="19" t="str">
        <f aca="false">IF($C379="","",IFERROR(INDEX(Estoque!$C$6:$C$45,MATCH($C379,Estoque!$A$6:$A$45,0)),"Código não encontrado"))</f>
        <v/>
      </c>
      <c r="E379" s="19" t="str">
        <f aca="false">IF($C379="","",IFERROR(INDEX(Estoque!$B$6:$B$45,MATCH($C379,Estoque!$A$6:$A$45,0)),"Código não encontrado"))</f>
        <v/>
      </c>
      <c r="F379" s="18"/>
      <c r="G379" s="18"/>
      <c r="H379" s="18"/>
      <c r="I379" s="20" t="str">
        <f aca="false">IF(OR($B379="",$C379=""),"",IF(OR($B379="Retorno de sobra",$B379="Saída de sobra"),IFERROR(VLOOKUP($G379,Listas!$A$2:$B$5,2,FALSE()),0)*IF($H379="",1,$H379),$H379))</f>
        <v/>
      </c>
      <c r="J379" s="21" t="str">
        <f aca="false">IF($C379="","",IF(ISNA(MATCH($C379,Estoque!$A$6:$A$45,0)),"⚠ Código não encontrado",IF(AND(OR($B379="Retorno de sobra",$B379="Saída de sobra"),$G379=""),"⚠ Escolha a medida da sobra",IF(AND(OR($B379="Entrada",$B379="Saída"),$H379=""),"⚠ Informe a quantidade","OK"))))</f>
        <v/>
      </c>
    </row>
    <row r="380" customFormat="false" ht="15" hidden="false" customHeight="false" outlineLevel="0" collapsed="false">
      <c r="A380" s="22"/>
      <c r="B380" s="18"/>
      <c r="C380" s="18"/>
      <c r="D380" s="19" t="str">
        <f aca="false">IF($C380="","",IFERROR(INDEX(Estoque!$C$6:$C$45,MATCH($C380,Estoque!$A$6:$A$45,0)),"Código não encontrado"))</f>
        <v/>
      </c>
      <c r="E380" s="19" t="str">
        <f aca="false">IF($C380="","",IFERROR(INDEX(Estoque!$B$6:$B$45,MATCH($C380,Estoque!$A$6:$A$45,0)),"Código não encontrado"))</f>
        <v/>
      </c>
      <c r="F380" s="18"/>
      <c r="G380" s="18"/>
      <c r="H380" s="18"/>
      <c r="I380" s="20" t="str">
        <f aca="false">IF(OR($B380="",$C380=""),"",IF(OR($B380="Retorno de sobra",$B380="Saída de sobra"),IFERROR(VLOOKUP($G380,Listas!$A$2:$B$5,2,FALSE()),0)*IF($H380="",1,$H380),$H380))</f>
        <v/>
      </c>
      <c r="J380" s="21" t="str">
        <f aca="false">IF($C380="","",IF(ISNA(MATCH($C380,Estoque!$A$6:$A$45,0)),"⚠ Código não encontrado",IF(AND(OR($B380="Retorno de sobra",$B380="Saída de sobra"),$G380=""),"⚠ Escolha a medida da sobra",IF(AND(OR($B380="Entrada",$B380="Saída"),$H380=""),"⚠ Informe a quantidade","OK"))))</f>
        <v/>
      </c>
    </row>
    <row r="381" customFormat="false" ht="15" hidden="false" customHeight="false" outlineLevel="0" collapsed="false">
      <c r="A381" s="22"/>
      <c r="B381" s="18"/>
      <c r="C381" s="18"/>
      <c r="D381" s="19" t="str">
        <f aca="false">IF($C381="","",IFERROR(INDEX(Estoque!$C$6:$C$45,MATCH($C381,Estoque!$A$6:$A$45,0)),"Código não encontrado"))</f>
        <v/>
      </c>
      <c r="E381" s="19" t="str">
        <f aca="false">IF($C381="","",IFERROR(INDEX(Estoque!$B$6:$B$45,MATCH($C381,Estoque!$A$6:$A$45,0)),"Código não encontrado"))</f>
        <v/>
      </c>
      <c r="F381" s="18"/>
      <c r="G381" s="18"/>
      <c r="H381" s="18"/>
      <c r="I381" s="20" t="str">
        <f aca="false">IF(OR($B381="",$C381=""),"",IF(OR($B381="Retorno de sobra",$B381="Saída de sobra"),IFERROR(VLOOKUP($G381,Listas!$A$2:$B$5,2,FALSE()),0)*IF($H381="",1,$H381),$H381))</f>
        <v/>
      </c>
      <c r="J381" s="21" t="str">
        <f aca="false">IF($C381="","",IF(ISNA(MATCH($C381,Estoque!$A$6:$A$45,0)),"⚠ Código não encontrado",IF(AND(OR($B381="Retorno de sobra",$B381="Saída de sobra"),$G381=""),"⚠ Escolha a medida da sobra",IF(AND(OR($B381="Entrada",$B381="Saída"),$H381=""),"⚠ Informe a quantidade","OK"))))</f>
        <v/>
      </c>
    </row>
    <row r="382" customFormat="false" ht="15" hidden="false" customHeight="false" outlineLevel="0" collapsed="false">
      <c r="A382" s="22"/>
      <c r="B382" s="18"/>
      <c r="C382" s="18"/>
      <c r="D382" s="19" t="str">
        <f aca="false">IF($C382="","",IFERROR(INDEX(Estoque!$C$6:$C$45,MATCH($C382,Estoque!$A$6:$A$45,0)),"Código não encontrado"))</f>
        <v/>
      </c>
      <c r="E382" s="19" t="str">
        <f aca="false">IF($C382="","",IFERROR(INDEX(Estoque!$B$6:$B$45,MATCH($C382,Estoque!$A$6:$A$45,0)),"Código não encontrado"))</f>
        <v/>
      </c>
      <c r="F382" s="18"/>
      <c r="G382" s="18"/>
      <c r="H382" s="18"/>
      <c r="I382" s="20" t="str">
        <f aca="false">IF(OR($B382="",$C382=""),"",IF(OR($B382="Retorno de sobra",$B382="Saída de sobra"),IFERROR(VLOOKUP($G382,Listas!$A$2:$B$5,2,FALSE()),0)*IF($H382="",1,$H382),$H382))</f>
        <v/>
      </c>
      <c r="J382" s="21" t="str">
        <f aca="false">IF($C382="","",IF(ISNA(MATCH($C382,Estoque!$A$6:$A$45,0)),"⚠ Código não encontrado",IF(AND(OR($B382="Retorno de sobra",$B382="Saída de sobra"),$G382=""),"⚠ Escolha a medida da sobra",IF(AND(OR($B382="Entrada",$B382="Saída"),$H382=""),"⚠ Informe a quantidade","OK"))))</f>
        <v/>
      </c>
    </row>
    <row r="383" customFormat="false" ht="15" hidden="false" customHeight="false" outlineLevel="0" collapsed="false">
      <c r="A383" s="22"/>
      <c r="B383" s="18"/>
      <c r="C383" s="18"/>
      <c r="D383" s="19" t="str">
        <f aca="false">IF($C383="","",IFERROR(INDEX(Estoque!$C$6:$C$45,MATCH($C383,Estoque!$A$6:$A$45,0)),"Código não encontrado"))</f>
        <v/>
      </c>
      <c r="E383" s="19" t="str">
        <f aca="false">IF($C383="","",IFERROR(INDEX(Estoque!$B$6:$B$45,MATCH($C383,Estoque!$A$6:$A$45,0)),"Código não encontrado"))</f>
        <v/>
      </c>
      <c r="F383" s="18"/>
      <c r="G383" s="18"/>
      <c r="H383" s="18"/>
      <c r="I383" s="20" t="str">
        <f aca="false">IF(OR($B383="",$C383=""),"",IF(OR($B383="Retorno de sobra",$B383="Saída de sobra"),IFERROR(VLOOKUP($G383,Listas!$A$2:$B$5,2,FALSE()),0)*IF($H383="",1,$H383),$H383))</f>
        <v/>
      </c>
      <c r="J383" s="21" t="str">
        <f aca="false">IF($C383="","",IF(ISNA(MATCH($C383,Estoque!$A$6:$A$45,0)),"⚠ Código não encontrado",IF(AND(OR($B383="Retorno de sobra",$B383="Saída de sobra"),$G383=""),"⚠ Escolha a medida da sobra",IF(AND(OR($B383="Entrada",$B383="Saída"),$H383=""),"⚠ Informe a quantidade","OK"))))</f>
        <v/>
      </c>
    </row>
    <row r="384" customFormat="false" ht="15" hidden="false" customHeight="false" outlineLevel="0" collapsed="false">
      <c r="A384" s="22"/>
      <c r="B384" s="18"/>
      <c r="C384" s="18"/>
      <c r="D384" s="19" t="str">
        <f aca="false">IF($C384="","",IFERROR(INDEX(Estoque!$C$6:$C$45,MATCH($C384,Estoque!$A$6:$A$45,0)),"Código não encontrado"))</f>
        <v/>
      </c>
      <c r="E384" s="19" t="str">
        <f aca="false">IF($C384="","",IFERROR(INDEX(Estoque!$B$6:$B$45,MATCH($C384,Estoque!$A$6:$A$45,0)),"Código não encontrado"))</f>
        <v/>
      </c>
      <c r="F384" s="18"/>
      <c r="G384" s="18"/>
      <c r="H384" s="18"/>
      <c r="I384" s="20" t="str">
        <f aca="false">IF(OR($B384="",$C384=""),"",IF(OR($B384="Retorno de sobra",$B384="Saída de sobra"),IFERROR(VLOOKUP($G384,Listas!$A$2:$B$5,2,FALSE()),0)*IF($H384="",1,$H384),$H384))</f>
        <v/>
      </c>
      <c r="J384" s="21" t="str">
        <f aca="false">IF($C384="","",IF(ISNA(MATCH($C384,Estoque!$A$6:$A$45,0)),"⚠ Código não encontrado",IF(AND(OR($B384="Retorno de sobra",$B384="Saída de sobra"),$G384=""),"⚠ Escolha a medida da sobra",IF(AND(OR($B384="Entrada",$B384="Saída"),$H384=""),"⚠ Informe a quantidade","OK"))))</f>
        <v/>
      </c>
    </row>
    <row r="385" customFormat="false" ht="15" hidden="false" customHeight="false" outlineLevel="0" collapsed="false">
      <c r="A385" s="22"/>
      <c r="B385" s="18"/>
      <c r="C385" s="18"/>
      <c r="D385" s="19" t="str">
        <f aca="false">IF($C385="","",IFERROR(INDEX(Estoque!$C$6:$C$45,MATCH($C385,Estoque!$A$6:$A$45,0)),"Código não encontrado"))</f>
        <v/>
      </c>
      <c r="E385" s="19" t="str">
        <f aca="false">IF($C385="","",IFERROR(INDEX(Estoque!$B$6:$B$45,MATCH($C385,Estoque!$A$6:$A$45,0)),"Código não encontrado"))</f>
        <v/>
      </c>
      <c r="F385" s="18"/>
      <c r="G385" s="18"/>
      <c r="H385" s="18"/>
      <c r="I385" s="20" t="str">
        <f aca="false">IF(OR($B385="",$C385=""),"",IF(OR($B385="Retorno de sobra",$B385="Saída de sobra"),IFERROR(VLOOKUP($G385,Listas!$A$2:$B$5,2,FALSE()),0)*IF($H385="",1,$H385),$H385))</f>
        <v/>
      </c>
      <c r="J385" s="21" t="str">
        <f aca="false">IF($C385="","",IF(ISNA(MATCH($C385,Estoque!$A$6:$A$45,0)),"⚠ Código não encontrado",IF(AND(OR($B385="Retorno de sobra",$B385="Saída de sobra"),$G385=""),"⚠ Escolha a medida da sobra",IF(AND(OR($B385="Entrada",$B385="Saída"),$H385=""),"⚠ Informe a quantidade","OK"))))</f>
        <v/>
      </c>
    </row>
    <row r="386" customFormat="false" ht="15" hidden="false" customHeight="false" outlineLevel="0" collapsed="false">
      <c r="A386" s="22"/>
      <c r="B386" s="18"/>
      <c r="C386" s="18"/>
      <c r="D386" s="19" t="str">
        <f aca="false">IF($C386="","",IFERROR(INDEX(Estoque!$C$6:$C$45,MATCH($C386,Estoque!$A$6:$A$45,0)),"Código não encontrado"))</f>
        <v/>
      </c>
      <c r="E386" s="19" t="str">
        <f aca="false">IF($C386="","",IFERROR(INDEX(Estoque!$B$6:$B$45,MATCH($C386,Estoque!$A$6:$A$45,0)),"Código não encontrado"))</f>
        <v/>
      </c>
      <c r="F386" s="18"/>
      <c r="G386" s="18"/>
      <c r="H386" s="18"/>
      <c r="I386" s="20" t="str">
        <f aca="false">IF(OR($B386="",$C386=""),"",IF(OR($B386="Retorno de sobra",$B386="Saída de sobra"),IFERROR(VLOOKUP($G386,Listas!$A$2:$B$5,2,FALSE()),0)*IF($H386="",1,$H386),$H386))</f>
        <v/>
      </c>
      <c r="J386" s="21" t="str">
        <f aca="false">IF($C386="","",IF(ISNA(MATCH($C386,Estoque!$A$6:$A$45,0)),"⚠ Código não encontrado",IF(AND(OR($B386="Retorno de sobra",$B386="Saída de sobra"),$G386=""),"⚠ Escolha a medida da sobra",IF(AND(OR($B386="Entrada",$B386="Saída"),$H386=""),"⚠ Informe a quantidade","OK"))))</f>
        <v/>
      </c>
    </row>
    <row r="387" customFormat="false" ht="15" hidden="false" customHeight="false" outlineLevel="0" collapsed="false">
      <c r="A387" s="22"/>
      <c r="B387" s="18"/>
      <c r="C387" s="18"/>
      <c r="D387" s="19" t="str">
        <f aca="false">IF($C387="","",IFERROR(INDEX(Estoque!$C$6:$C$45,MATCH($C387,Estoque!$A$6:$A$45,0)),"Código não encontrado"))</f>
        <v/>
      </c>
      <c r="E387" s="19" t="str">
        <f aca="false">IF($C387="","",IFERROR(INDEX(Estoque!$B$6:$B$45,MATCH($C387,Estoque!$A$6:$A$45,0)),"Código não encontrado"))</f>
        <v/>
      </c>
      <c r="F387" s="18"/>
      <c r="G387" s="18"/>
      <c r="H387" s="18"/>
      <c r="I387" s="20" t="str">
        <f aca="false">IF(OR($B387="",$C387=""),"",IF(OR($B387="Retorno de sobra",$B387="Saída de sobra"),IFERROR(VLOOKUP($G387,Listas!$A$2:$B$5,2,FALSE()),0)*IF($H387="",1,$H387),$H387))</f>
        <v/>
      </c>
      <c r="J387" s="21" t="str">
        <f aca="false">IF($C387="","",IF(ISNA(MATCH($C387,Estoque!$A$6:$A$45,0)),"⚠ Código não encontrado",IF(AND(OR($B387="Retorno de sobra",$B387="Saída de sobra"),$G387=""),"⚠ Escolha a medida da sobra",IF(AND(OR($B387="Entrada",$B387="Saída"),$H387=""),"⚠ Informe a quantidade","OK"))))</f>
        <v/>
      </c>
    </row>
    <row r="388" customFormat="false" ht="15" hidden="false" customHeight="false" outlineLevel="0" collapsed="false">
      <c r="A388" s="22"/>
      <c r="B388" s="18"/>
      <c r="C388" s="18"/>
      <c r="D388" s="19" t="str">
        <f aca="false">IF($C388="","",IFERROR(INDEX(Estoque!$C$6:$C$45,MATCH($C388,Estoque!$A$6:$A$45,0)),"Código não encontrado"))</f>
        <v/>
      </c>
      <c r="E388" s="19" t="str">
        <f aca="false">IF($C388="","",IFERROR(INDEX(Estoque!$B$6:$B$45,MATCH($C388,Estoque!$A$6:$A$45,0)),"Código não encontrado"))</f>
        <v/>
      </c>
      <c r="F388" s="18"/>
      <c r="G388" s="18"/>
      <c r="H388" s="18"/>
      <c r="I388" s="20" t="str">
        <f aca="false">IF(OR($B388="",$C388=""),"",IF(OR($B388="Retorno de sobra",$B388="Saída de sobra"),IFERROR(VLOOKUP($G388,Listas!$A$2:$B$5,2,FALSE()),0)*IF($H388="",1,$H388),$H388))</f>
        <v/>
      </c>
      <c r="J388" s="21" t="str">
        <f aca="false">IF($C388="","",IF(ISNA(MATCH($C388,Estoque!$A$6:$A$45,0)),"⚠ Código não encontrado",IF(AND(OR($B388="Retorno de sobra",$B388="Saída de sobra"),$G388=""),"⚠ Escolha a medida da sobra",IF(AND(OR($B388="Entrada",$B388="Saída"),$H388=""),"⚠ Informe a quantidade","OK"))))</f>
        <v/>
      </c>
    </row>
    <row r="389" customFormat="false" ht="15" hidden="false" customHeight="false" outlineLevel="0" collapsed="false">
      <c r="A389" s="22"/>
      <c r="B389" s="18"/>
      <c r="C389" s="18"/>
      <c r="D389" s="19" t="str">
        <f aca="false">IF($C389="","",IFERROR(INDEX(Estoque!$C$6:$C$45,MATCH($C389,Estoque!$A$6:$A$45,0)),"Código não encontrado"))</f>
        <v/>
      </c>
      <c r="E389" s="19" t="str">
        <f aca="false">IF($C389="","",IFERROR(INDEX(Estoque!$B$6:$B$45,MATCH($C389,Estoque!$A$6:$A$45,0)),"Código não encontrado"))</f>
        <v/>
      </c>
      <c r="F389" s="18"/>
      <c r="G389" s="18"/>
      <c r="H389" s="18"/>
      <c r="I389" s="20" t="str">
        <f aca="false">IF(OR($B389="",$C389=""),"",IF(OR($B389="Retorno de sobra",$B389="Saída de sobra"),IFERROR(VLOOKUP($G389,Listas!$A$2:$B$5,2,FALSE()),0)*IF($H389="",1,$H389),$H389))</f>
        <v/>
      </c>
      <c r="J389" s="21" t="str">
        <f aca="false">IF($C389="","",IF(ISNA(MATCH($C389,Estoque!$A$6:$A$45,0)),"⚠ Código não encontrado",IF(AND(OR($B389="Retorno de sobra",$B389="Saída de sobra"),$G389=""),"⚠ Escolha a medida da sobra",IF(AND(OR($B389="Entrada",$B389="Saída"),$H389=""),"⚠ Informe a quantidade","OK"))))</f>
        <v/>
      </c>
    </row>
    <row r="390" customFormat="false" ht="15" hidden="false" customHeight="false" outlineLevel="0" collapsed="false">
      <c r="A390" s="22"/>
      <c r="B390" s="18"/>
      <c r="C390" s="18"/>
      <c r="D390" s="19" t="str">
        <f aca="false">IF($C390="","",IFERROR(INDEX(Estoque!$C$6:$C$45,MATCH($C390,Estoque!$A$6:$A$45,0)),"Código não encontrado"))</f>
        <v/>
      </c>
      <c r="E390" s="19" t="str">
        <f aca="false">IF($C390="","",IFERROR(INDEX(Estoque!$B$6:$B$45,MATCH($C390,Estoque!$A$6:$A$45,0)),"Código não encontrado"))</f>
        <v/>
      </c>
      <c r="F390" s="18"/>
      <c r="G390" s="18"/>
      <c r="H390" s="18"/>
      <c r="I390" s="20" t="str">
        <f aca="false">IF(OR($B390="",$C390=""),"",IF(OR($B390="Retorno de sobra",$B390="Saída de sobra"),IFERROR(VLOOKUP($G390,Listas!$A$2:$B$5,2,FALSE()),0)*IF($H390="",1,$H390),$H390))</f>
        <v/>
      </c>
      <c r="J390" s="21" t="str">
        <f aca="false">IF($C390="","",IF(ISNA(MATCH($C390,Estoque!$A$6:$A$45,0)),"⚠ Código não encontrado",IF(AND(OR($B390="Retorno de sobra",$B390="Saída de sobra"),$G390=""),"⚠ Escolha a medida da sobra",IF(AND(OR($B390="Entrada",$B390="Saída"),$H390=""),"⚠ Informe a quantidade","OK"))))</f>
        <v/>
      </c>
    </row>
    <row r="391" customFormat="false" ht="15" hidden="false" customHeight="false" outlineLevel="0" collapsed="false">
      <c r="A391" s="22"/>
      <c r="B391" s="18"/>
      <c r="C391" s="18"/>
      <c r="D391" s="19" t="str">
        <f aca="false">IF($C391="","",IFERROR(INDEX(Estoque!$C$6:$C$45,MATCH($C391,Estoque!$A$6:$A$45,0)),"Código não encontrado"))</f>
        <v/>
      </c>
      <c r="E391" s="19" t="str">
        <f aca="false">IF($C391="","",IFERROR(INDEX(Estoque!$B$6:$B$45,MATCH($C391,Estoque!$A$6:$A$45,0)),"Código não encontrado"))</f>
        <v/>
      </c>
      <c r="F391" s="18"/>
      <c r="G391" s="18"/>
      <c r="H391" s="18"/>
      <c r="I391" s="20" t="str">
        <f aca="false">IF(OR($B391="",$C391=""),"",IF(OR($B391="Retorno de sobra",$B391="Saída de sobra"),IFERROR(VLOOKUP($G391,Listas!$A$2:$B$5,2,FALSE()),0)*IF($H391="",1,$H391),$H391))</f>
        <v/>
      </c>
      <c r="J391" s="21" t="str">
        <f aca="false">IF($C391="","",IF(ISNA(MATCH($C391,Estoque!$A$6:$A$45,0)),"⚠ Código não encontrado",IF(AND(OR($B391="Retorno de sobra",$B391="Saída de sobra"),$G391=""),"⚠ Escolha a medida da sobra",IF(AND(OR($B391="Entrada",$B391="Saída"),$H391=""),"⚠ Informe a quantidade","OK"))))</f>
        <v/>
      </c>
    </row>
    <row r="392" customFormat="false" ht="15" hidden="false" customHeight="false" outlineLevel="0" collapsed="false">
      <c r="A392" s="22"/>
      <c r="B392" s="18"/>
      <c r="C392" s="18"/>
      <c r="D392" s="19" t="str">
        <f aca="false">IF($C392="","",IFERROR(INDEX(Estoque!$C$6:$C$45,MATCH($C392,Estoque!$A$6:$A$45,0)),"Código não encontrado"))</f>
        <v/>
      </c>
      <c r="E392" s="19" t="str">
        <f aca="false">IF($C392="","",IFERROR(INDEX(Estoque!$B$6:$B$45,MATCH($C392,Estoque!$A$6:$A$45,0)),"Código não encontrado"))</f>
        <v/>
      </c>
      <c r="F392" s="18"/>
      <c r="G392" s="18"/>
      <c r="H392" s="18"/>
      <c r="I392" s="20" t="str">
        <f aca="false">IF(OR($B392="",$C392=""),"",IF(OR($B392="Retorno de sobra",$B392="Saída de sobra"),IFERROR(VLOOKUP($G392,Listas!$A$2:$B$5,2,FALSE()),0)*IF($H392="",1,$H392),$H392))</f>
        <v/>
      </c>
      <c r="J392" s="21" t="str">
        <f aca="false">IF($C392="","",IF(ISNA(MATCH($C392,Estoque!$A$6:$A$45,0)),"⚠ Código não encontrado",IF(AND(OR($B392="Retorno de sobra",$B392="Saída de sobra"),$G392=""),"⚠ Escolha a medida da sobra",IF(AND(OR($B392="Entrada",$B392="Saída"),$H392=""),"⚠ Informe a quantidade","OK"))))</f>
        <v/>
      </c>
    </row>
    <row r="393" customFormat="false" ht="15" hidden="false" customHeight="false" outlineLevel="0" collapsed="false">
      <c r="A393" s="22"/>
      <c r="B393" s="18"/>
      <c r="C393" s="18"/>
      <c r="D393" s="19" t="str">
        <f aca="false">IF($C393="","",IFERROR(INDEX(Estoque!$C$6:$C$45,MATCH($C393,Estoque!$A$6:$A$45,0)),"Código não encontrado"))</f>
        <v/>
      </c>
      <c r="E393" s="19" t="str">
        <f aca="false">IF($C393="","",IFERROR(INDEX(Estoque!$B$6:$B$45,MATCH($C393,Estoque!$A$6:$A$45,0)),"Código não encontrado"))</f>
        <v/>
      </c>
      <c r="F393" s="18"/>
      <c r="G393" s="18"/>
      <c r="H393" s="18"/>
      <c r="I393" s="20" t="str">
        <f aca="false">IF(OR($B393="",$C393=""),"",IF(OR($B393="Retorno de sobra",$B393="Saída de sobra"),IFERROR(VLOOKUP($G393,Listas!$A$2:$B$5,2,FALSE()),0)*IF($H393="",1,$H393),$H393))</f>
        <v/>
      </c>
      <c r="J393" s="21" t="str">
        <f aca="false">IF($C393="","",IF(ISNA(MATCH($C393,Estoque!$A$6:$A$45,0)),"⚠ Código não encontrado",IF(AND(OR($B393="Retorno de sobra",$B393="Saída de sobra"),$G393=""),"⚠ Escolha a medida da sobra",IF(AND(OR($B393="Entrada",$B393="Saída"),$H393=""),"⚠ Informe a quantidade","OK"))))</f>
        <v/>
      </c>
    </row>
    <row r="394" customFormat="false" ht="15" hidden="false" customHeight="false" outlineLevel="0" collapsed="false">
      <c r="A394" s="22"/>
      <c r="B394" s="18"/>
      <c r="C394" s="18"/>
      <c r="D394" s="19" t="str">
        <f aca="false">IF($C394="","",IFERROR(INDEX(Estoque!$C$6:$C$45,MATCH($C394,Estoque!$A$6:$A$45,0)),"Código não encontrado"))</f>
        <v/>
      </c>
      <c r="E394" s="19" t="str">
        <f aca="false">IF($C394="","",IFERROR(INDEX(Estoque!$B$6:$B$45,MATCH($C394,Estoque!$A$6:$A$45,0)),"Código não encontrado"))</f>
        <v/>
      </c>
      <c r="F394" s="18"/>
      <c r="G394" s="18"/>
      <c r="H394" s="18"/>
      <c r="I394" s="20" t="str">
        <f aca="false">IF(OR($B394="",$C394=""),"",IF(OR($B394="Retorno de sobra",$B394="Saída de sobra"),IFERROR(VLOOKUP($G394,Listas!$A$2:$B$5,2,FALSE()),0)*IF($H394="",1,$H394),$H394))</f>
        <v/>
      </c>
      <c r="J394" s="21" t="str">
        <f aca="false">IF($C394="","",IF(ISNA(MATCH($C394,Estoque!$A$6:$A$45,0)),"⚠ Código não encontrado",IF(AND(OR($B394="Retorno de sobra",$B394="Saída de sobra"),$G394=""),"⚠ Escolha a medida da sobra",IF(AND(OR($B394="Entrada",$B394="Saída"),$H394=""),"⚠ Informe a quantidade","OK"))))</f>
        <v/>
      </c>
    </row>
    <row r="395" customFormat="false" ht="15" hidden="false" customHeight="false" outlineLevel="0" collapsed="false">
      <c r="A395" s="22"/>
      <c r="B395" s="18"/>
      <c r="C395" s="18"/>
      <c r="D395" s="19" t="str">
        <f aca="false">IF($C395="","",IFERROR(INDEX(Estoque!$C$6:$C$45,MATCH($C395,Estoque!$A$6:$A$45,0)),"Código não encontrado"))</f>
        <v/>
      </c>
      <c r="E395" s="19" t="str">
        <f aca="false">IF($C395="","",IFERROR(INDEX(Estoque!$B$6:$B$45,MATCH($C395,Estoque!$A$6:$A$45,0)),"Código não encontrado"))</f>
        <v/>
      </c>
      <c r="F395" s="18"/>
      <c r="G395" s="18"/>
      <c r="H395" s="18"/>
      <c r="I395" s="20" t="str">
        <f aca="false">IF(OR($B395="",$C395=""),"",IF(OR($B395="Retorno de sobra",$B395="Saída de sobra"),IFERROR(VLOOKUP($G395,Listas!$A$2:$B$5,2,FALSE()),0)*IF($H395="",1,$H395),$H395))</f>
        <v/>
      </c>
      <c r="J395" s="21" t="str">
        <f aca="false">IF($C395="","",IF(ISNA(MATCH($C395,Estoque!$A$6:$A$45,0)),"⚠ Código não encontrado",IF(AND(OR($B395="Retorno de sobra",$B395="Saída de sobra"),$G395=""),"⚠ Escolha a medida da sobra",IF(AND(OR($B395="Entrada",$B395="Saída"),$H395=""),"⚠ Informe a quantidade","OK"))))</f>
        <v/>
      </c>
    </row>
    <row r="396" customFormat="false" ht="15" hidden="false" customHeight="false" outlineLevel="0" collapsed="false">
      <c r="A396" s="22"/>
      <c r="B396" s="18"/>
      <c r="C396" s="18"/>
      <c r="D396" s="19" t="str">
        <f aca="false">IF($C396="","",IFERROR(INDEX(Estoque!$C$6:$C$45,MATCH($C396,Estoque!$A$6:$A$45,0)),"Código não encontrado"))</f>
        <v/>
      </c>
      <c r="E396" s="19" t="str">
        <f aca="false">IF($C396="","",IFERROR(INDEX(Estoque!$B$6:$B$45,MATCH($C396,Estoque!$A$6:$A$45,0)),"Código não encontrado"))</f>
        <v/>
      </c>
      <c r="F396" s="18"/>
      <c r="G396" s="18"/>
      <c r="H396" s="18"/>
      <c r="I396" s="20" t="str">
        <f aca="false">IF(OR($B396="",$C396=""),"",IF(OR($B396="Retorno de sobra",$B396="Saída de sobra"),IFERROR(VLOOKUP($G396,Listas!$A$2:$B$5,2,FALSE()),0)*IF($H396="",1,$H396),$H396))</f>
        <v/>
      </c>
      <c r="J396" s="21" t="str">
        <f aca="false">IF($C396="","",IF(ISNA(MATCH($C396,Estoque!$A$6:$A$45,0)),"⚠ Código não encontrado",IF(AND(OR($B396="Retorno de sobra",$B396="Saída de sobra"),$G396=""),"⚠ Escolha a medida da sobra",IF(AND(OR($B396="Entrada",$B396="Saída"),$H396=""),"⚠ Informe a quantidade","OK"))))</f>
        <v/>
      </c>
    </row>
    <row r="397" customFormat="false" ht="15" hidden="false" customHeight="false" outlineLevel="0" collapsed="false">
      <c r="A397" s="22"/>
      <c r="B397" s="18"/>
      <c r="C397" s="18"/>
      <c r="D397" s="19" t="str">
        <f aca="false">IF($C397="","",IFERROR(INDEX(Estoque!$C$6:$C$45,MATCH($C397,Estoque!$A$6:$A$45,0)),"Código não encontrado"))</f>
        <v/>
      </c>
      <c r="E397" s="19" t="str">
        <f aca="false">IF($C397="","",IFERROR(INDEX(Estoque!$B$6:$B$45,MATCH($C397,Estoque!$A$6:$A$45,0)),"Código não encontrado"))</f>
        <v/>
      </c>
      <c r="F397" s="18"/>
      <c r="G397" s="18"/>
      <c r="H397" s="18"/>
      <c r="I397" s="20" t="str">
        <f aca="false">IF(OR($B397="",$C397=""),"",IF(OR($B397="Retorno de sobra",$B397="Saída de sobra"),IFERROR(VLOOKUP($G397,Listas!$A$2:$B$5,2,FALSE()),0)*IF($H397="",1,$H397),$H397))</f>
        <v/>
      </c>
      <c r="J397" s="21" t="str">
        <f aca="false">IF($C397="","",IF(ISNA(MATCH($C397,Estoque!$A$6:$A$45,0)),"⚠ Código não encontrado",IF(AND(OR($B397="Retorno de sobra",$B397="Saída de sobra"),$G397=""),"⚠ Escolha a medida da sobra",IF(AND(OR($B397="Entrada",$B397="Saída"),$H397=""),"⚠ Informe a quantidade","OK"))))</f>
        <v/>
      </c>
    </row>
    <row r="398" customFormat="false" ht="15" hidden="false" customHeight="false" outlineLevel="0" collapsed="false">
      <c r="A398" s="22"/>
      <c r="B398" s="18"/>
      <c r="C398" s="18"/>
      <c r="D398" s="19" t="str">
        <f aca="false">IF($C398="","",IFERROR(INDEX(Estoque!$C$6:$C$45,MATCH($C398,Estoque!$A$6:$A$45,0)),"Código não encontrado"))</f>
        <v/>
      </c>
      <c r="E398" s="19" t="str">
        <f aca="false">IF($C398="","",IFERROR(INDEX(Estoque!$B$6:$B$45,MATCH($C398,Estoque!$A$6:$A$45,0)),"Código não encontrado"))</f>
        <v/>
      </c>
      <c r="F398" s="18"/>
      <c r="G398" s="18"/>
      <c r="H398" s="18"/>
      <c r="I398" s="20" t="str">
        <f aca="false">IF(OR($B398="",$C398=""),"",IF(OR($B398="Retorno de sobra",$B398="Saída de sobra"),IFERROR(VLOOKUP($G398,Listas!$A$2:$B$5,2,FALSE()),0)*IF($H398="",1,$H398),$H398))</f>
        <v/>
      </c>
      <c r="J398" s="21" t="str">
        <f aca="false">IF($C398="","",IF(ISNA(MATCH($C398,Estoque!$A$6:$A$45,0)),"⚠ Código não encontrado",IF(AND(OR($B398="Retorno de sobra",$B398="Saída de sobra"),$G398=""),"⚠ Escolha a medida da sobra",IF(AND(OR($B398="Entrada",$B398="Saída"),$H398=""),"⚠ Informe a quantidade","OK"))))</f>
        <v/>
      </c>
    </row>
    <row r="399" customFormat="false" ht="15" hidden="false" customHeight="false" outlineLevel="0" collapsed="false">
      <c r="A399" s="22"/>
      <c r="B399" s="18"/>
      <c r="C399" s="18"/>
      <c r="D399" s="19" t="str">
        <f aca="false">IF($C399="","",IFERROR(INDEX(Estoque!$C$6:$C$45,MATCH($C399,Estoque!$A$6:$A$45,0)),"Código não encontrado"))</f>
        <v/>
      </c>
      <c r="E399" s="19" t="str">
        <f aca="false">IF($C399="","",IFERROR(INDEX(Estoque!$B$6:$B$45,MATCH($C399,Estoque!$A$6:$A$45,0)),"Código não encontrado"))</f>
        <v/>
      </c>
      <c r="F399" s="18"/>
      <c r="G399" s="18"/>
      <c r="H399" s="18"/>
      <c r="I399" s="20" t="str">
        <f aca="false">IF(OR($B399="",$C399=""),"",IF(OR($B399="Retorno de sobra",$B399="Saída de sobra"),IFERROR(VLOOKUP($G399,Listas!$A$2:$B$5,2,FALSE()),0)*IF($H399="",1,$H399),$H399))</f>
        <v/>
      </c>
      <c r="J399" s="21" t="str">
        <f aca="false">IF($C399="","",IF(ISNA(MATCH($C399,Estoque!$A$6:$A$45,0)),"⚠ Código não encontrado",IF(AND(OR($B399="Retorno de sobra",$B399="Saída de sobra"),$G399=""),"⚠ Escolha a medida da sobra",IF(AND(OR($B399="Entrada",$B399="Saída"),$H399=""),"⚠ Informe a quantidade","OK"))))</f>
        <v/>
      </c>
    </row>
    <row r="400" customFormat="false" ht="15" hidden="false" customHeight="false" outlineLevel="0" collapsed="false">
      <c r="A400" s="22"/>
      <c r="B400" s="18"/>
      <c r="C400" s="18"/>
      <c r="D400" s="19" t="str">
        <f aca="false">IF($C400="","",IFERROR(INDEX(Estoque!$C$6:$C$45,MATCH($C400,Estoque!$A$6:$A$45,0)),"Código não encontrado"))</f>
        <v/>
      </c>
      <c r="E400" s="19" t="str">
        <f aca="false">IF($C400="","",IFERROR(INDEX(Estoque!$B$6:$B$45,MATCH($C400,Estoque!$A$6:$A$45,0)),"Código não encontrado"))</f>
        <v/>
      </c>
      <c r="F400" s="18"/>
      <c r="G400" s="18"/>
      <c r="H400" s="18"/>
      <c r="I400" s="20" t="str">
        <f aca="false">IF(OR($B400="",$C400=""),"",IF(OR($B400="Retorno de sobra",$B400="Saída de sobra"),IFERROR(VLOOKUP($G400,Listas!$A$2:$B$5,2,FALSE()),0)*IF($H400="",1,$H400),$H400))</f>
        <v/>
      </c>
      <c r="J400" s="21" t="str">
        <f aca="false">IF($C400="","",IF(ISNA(MATCH($C400,Estoque!$A$6:$A$45,0)),"⚠ Código não encontrado",IF(AND(OR($B400="Retorno de sobra",$B400="Saída de sobra"),$G400=""),"⚠ Escolha a medida da sobra",IF(AND(OR($B400="Entrada",$B400="Saída"),$H400=""),"⚠ Informe a quantidade","OK"))))</f>
        <v/>
      </c>
    </row>
    <row r="401" customFormat="false" ht="15" hidden="false" customHeight="false" outlineLevel="0" collapsed="false">
      <c r="A401" s="22"/>
      <c r="B401" s="18"/>
      <c r="C401" s="18"/>
      <c r="D401" s="19" t="str">
        <f aca="false">IF($C401="","",IFERROR(INDEX(Estoque!$C$6:$C$45,MATCH($C401,Estoque!$A$6:$A$45,0)),"Código não encontrado"))</f>
        <v/>
      </c>
      <c r="E401" s="19" t="str">
        <f aca="false">IF($C401="","",IFERROR(INDEX(Estoque!$B$6:$B$45,MATCH($C401,Estoque!$A$6:$A$45,0)),"Código não encontrado"))</f>
        <v/>
      </c>
      <c r="F401" s="18"/>
      <c r="G401" s="18"/>
      <c r="H401" s="18"/>
      <c r="I401" s="20" t="str">
        <f aca="false">IF(OR($B401="",$C401=""),"",IF(OR($B401="Retorno de sobra",$B401="Saída de sobra"),IFERROR(VLOOKUP($G401,Listas!$A$2:$B$5,2,FALSE()),0)*IF($H401="",1,$H401),$H401))</f>
        <v/>
      </c>
      <c r="J401" s="21" t="str">
        <f aca="false">IF($C401="","",IF(ISNA(MATCH($C401,Estoque!$A$6:$A$45,0)),"⚠ Código não encontrado",IF(AND(OR($B401="Retorno de sobra",$B401="Saída de sobra"),$G401=""),"⚠ Escolha a medida da sobra",IF(AND(OR($B401="Entrada",$B401="Saída"),$H401=""),"⚠ Informe a quantidade","OK"))))</f>
        <v/>
      </c>
    </row>
    <row r="402" customFormat="false" ht="15" hidden="false" customHeight="false" outlineLevel="0" collapsed="false">
      <c r="A402" s="22"/>
      <c r="B402" s="18"/>
      <c r="C402" s="18"/>
      <c r="D402" s="19" t="str">
        <f aca="false">IF($C402="","",IFERROR(INDEX(Estoque!$C$6:$C$45,MATCH($C402,Estoque!$A$6:$A$45,0)),"Código não encontrado"))</f>
        <v/>
      </c>
      <c r="E402" s="19" t="str">
        <f aca="false">IF($C402="","",IFERROR(INDEX(Estoque!$B$6:$B$45,MATCH($C402,Estoque!$A$6:$A$45,0)),"Código não encontrado"))</f>
        <v/>
      </c>
      <c r="F402" s="18"/>
      <c r="G402" s="18"/>
      <c r="H402" s="18"/>
      <c r="I402" s="20" t="str">
        <f aca="false">IF(OR($B402="",$C402=""),"",IF(OR($B402="Retorno de sobra",$B402="Saída de sobra"),IFERROR(VLOOKUP($G402,Listas!$A$2:$B$5,2,FALSE()),0)*IF($H402="",1,$H402),$H402))</f>
        <v/>
      </c>
      <c r="J402" s="21" t="str">
        <f aca="false">IF($C402="","",IF(ISNA(MATCH($C402,Estoque!$A$6:$A$45,0)),"⚠ Código não encontrado",IF(AND(OR($B402="Retorno de sobra",$B402="Saída de sobra"),$G402=""),"⚠ Escolha a medida da sobra",IF(AND(OR($B402="Entrada",$B402="Saída"),$H402=""),"⚠ Informe a quantidade","OK"))))</f>
        <v/>
      </c>
    </row>
    <row r="403" customFormat="false" ht="15" hidden="false" customHeight="false" outlineLevel="0" collapsed="false">
      <c r="A403" s="22"/>
      <c r="B403" s="18"/>
      <c r="C403" s="18"/>
      <c r="D403" s="19" t="str">
        <f aca="false">IF($C403="","",IFERROR(INDEX(Estoque!$C$6:$C$45,MATCH($C403,Estoque!$A$6:$A$45,0)),"Código não encontrado"))</f>
        <v/>
      </c>
      <c r="E403" s="19" t="str">
        <f aca="false">IF($C403="","",IFERROR(INDEX(Estoque!$B$6:$B$45,MATCH($C403,Estoque!$A$6:$A$45,0)),"Código não encontrado"))</f>
        <v/>
      </c>
      <c r="F403" s="18"/>
      <c r="G403" s="18"/>
      <c r="H403" s="18"/>
      <c r="I403" s="20" t="str">
        <f aca="false">IF(OR($B403="",$C403=""),"",IF(OR($B403="Retorno de sobra",$B403="Saída de sobra"),IFERROR(VLOOKUP($G403,Listas!$A$2:$B$5,2,FALSE()),0)*IF($H403="",1,$H403),$H403))</f>
        <v/>
      </c>
      <c r="J403" s="21" t="str">
        <f aca="false">IF($C403="","",IF(ISNA(MATCH($C403,Estoque!$A$6:$A$45,0)),"⚠ Código não encontrado",IF(AND(OR($B403="Retorno de sobra",$B403="Saída de sobra"),$G403=""),"⚠ Escolha a medida da sobra",IF(AND(OR($B403="Entrada",$B403="Saída"),$H403=""),"⚠ Informe a quantidade","OK"))))</f>
        <v/>
      </c>
    </row>
    <row r="404" customFormat="false" ht="15" hidden="false" customHeight="false" outlineLevel="0" collapsed="false">
      <c r="A404" s="22"/>
      <c r="B404" s="18"/>
      <c r="C404" s="18"/>
      <c r="D404" s="19" t="str">
        <f aca="false">IF($C404="","",IFERROR(INDEX(Estoque!$C$6:$C$45,MATCH($C404,Estoque!$A$6:$A$45,0)),"Código não encontrado"))</f>
        <v/>
      </c>
      <c r="E404" s="19" t="str">
        <f aca="false">IF($C404="","",IFERROR(INDEX(Estoque!$B$6:$B$45,MATCH($C404,Estoque!$A$6:$A$45,0)),"Código não encontrado"))</f>
        <v/>
      </c>
      <c r="F404" s="18"/>
      <c r="G404" s="18"/>
      <c r="H404" s="18"/>
      <c r="I404" s="20" t="str">
        <f aca="false">IF(OR($B404="",$C404=""),"",IF(OR($B404="Retorno de sobra",$B404="Saída de sobra"),IFERROR(VLOOKUP($G404,Listas!$A$2:$B$5,2,FALSE()),0)*IF($H404="",1,$H404),$H404))</f>
        <v/>
      </c>
      <c r="J404" s="21" t="str">
        <f aca="false">IF($C404="","",IF(ISNA(MATCH($C404,Estoque!$A$6:$A$45,0)),"⚠ Código não encontrado",IF(AND(OR($B404="Retorno de sobra",$B404="Saída de sobra"),$G404=""),"⚠ Escolha a medida da sobra",IF(AND(OR($B404="Entrada",$B404="Saída"),$H404=""),"⚠ Informe a quantidade","OK"))))</f>
        <v/>
      </c>
    </row>
    <row r="405" customFormat="false" ht="15" hidden="false" customHeight="false" outlineLevel="0" collapsed="false">
      <c r="A405" s="22"/>
      <c r="B405" s="18"/>
      <c r="C405" s="18"/>
      <c r="D405" s="19" t="str">
        <f aca="false">IF($C405="","",IFERROR(INDEX(Estoque!$C$6:$C$45,MATCH($C405,Estoque!$A$6:$A$45,0)),"Código não encontrado"))</f>
        <v/>
      </c>
      <c r="E405" s="19" t="str">
        <f aca="false">IF($C405="","",IFERROR(INDEX(Estoque!$B$6:$B$45,MATCH($C405,Estoque!$A$6:$A$45,0)),"Código não encontrado"))</f>
        <v/>
      </c>
      <c r="F405" s="18"/>
      <c r="G405" s="18"/>
      <c r="H405" s="18"/>
      <c r="I405" s="20" t="str">
        <f aca="false">IF(OR($B405="",$C405=""),"",IF(OR($B405="Retorno de sobra",$B405="Saída de sobra"),IFERROR(VLOOKUP($G405,Listas!$A$2:$B$5,2,FALSE()),0)*IF($H405="",1,$H405),$H405))</f>
        <v/>
      </c>
      <c r="J405" s="21" t="str">
        <f aca="false">IF($C405="","",IF(ISNA(MATCH($C405,Estoque!$A$6:$A$45,0)),"⚠ Código não encontrado",IF(AND(OR($B405="Retorno de sobra",$B405="Saída de sobra"),$G405=""),"⚠ Escolha a medida da sobra",IF(AND(OR($B405="Entrada",$B405="Saída"),$H405=""),"⚠ Informe a quantidade","OK"))))</f>
        <v/>
      </c>
    </row>
    <row r="406" customFormat="false" ht="15" hidden="false" customHeight="false" outlineLevel="0" collapsed="false">
      <c r="A406" s="22"/>
      <c r="B406" s="18"/>
      <c r="C406" s="18"/>
      <c r="D406" s="19" t="str">
        <f aca="false">IF($C406="","",IFERROR(INDEX(Estoque!$C$6:$C$45,MATCH($C406,Estoque!$A$6:$A$45,0)),"Código não encontrado"))</f>
        <v/>
      </c>
      <c r="E406" s="19" t="str">
        <f aca="false">IF($C406="","",IFERROR(INDEX(Estoque!$B$6:$B$45,MATCH($C406,Estoque!$A$6:$A$45,0)),"Código não encontrado"))</f>
        <v/>
      </c>
      <c r="F406" s="18"/>
      <c r="G406" s="18"/>
      <c r="H406" s="18"/>
      <c r="I406" s="20" t="str">
        <f aca="false">IF(OR($B406="",$C406=""),"",IF(OR($B406="Retorno de sobra",$B406="Saída de sobra"),IFERROR(VLOOKUP($G406,Listas!$A$2:$B$5,2,FALSE()),0)*IF($H406="",1,$H406),$H406))</f>
        <v/>
      </c>
      <c r="J406" s="21" t="str">
        <f aca="false">IF($C406="","",IF(ISNA(MATCH($C406,Estoque!$A$6:$A$45,0)),"⚠ Código não encontrado",IF(AND(OR($B406="Retorno de sobra",$B406="Saída de sobra"),$G406=""),"⚠ Escolha a medida da sobra",IF(AND(OR($B406="Entrada",$B406="Saída"),$H406=""),"⚠ Informe a quantidade","OK"))))</f>
        <v/>
      </c>
    </row>
    <row r="407" customFormat="false" ht="15" hidden="false" customHeight="false" outlineLevel="0" collapsed="false">
      <c r="A407" s="22"/>
      <c r="B407" s="18"/>
      <c r="C407" s="18"/>
      <c r="D407" s="19" t="str">
        <f aca="false">IF($C407="","",IFERROR(INDEX(Estoque!$C$6:$C$45,MATCH($C407,Estoque!$A$6:$A$45,0)),"Código não encontrado"))</f>
        <v/>
      </c>
      <c r="E407" s="19" t="str">
        <f aca="false">IF($C407="","",IFERROR(INDEX(Estoque!$B$6:$B$45,MATCH($C407,Estoque!$A$6:$A$45,0)),"Código não encontrado"))</f>
        <v/>
      </c>
      <c r="F407" s="18"/>
      <c r="G407" s="18"/>
      <c r="H407" s="18"/>
      <c r="I407" s="20" t="str">
        <f aca="false">IF(OR($B407="",$C407=""),"",IF(OR($B407="Retorno de sobra",$B407="Saída de sobra"),IFERROR(VLOOKUP($G407,Listas!$A$2:$B$5,2,FALSE()),0)*IF($H407="",1,$H407),$H407))</f>
        <v/>
      </c>
      <c r="J407" s="21" t="str">
        <f aca="false">IF($C407="","",IF(ISNA(MATCH($C407,Estoque!$A$6:$A$45,0)),"⚠ Código não encontrado",IF(AND(OR($B407="Retorno de sobra",$B407="Saída de sobra"),$G407=""),"⚠ Escolha a medida da sobra",IF(AND(OR($B407="Entrada",$B407="Saída"),$H407=""),"⚠ Informe a quantidade","OK"))))</f>
        <v/>
      </c>
    </row>
    <row r="408" customFormat="false" ht="15" hidden="false" customHeight="false" outlineLevel="0" collapsed="false">
      <c r="A408" s="22"/>
      <c r="B408" s="18"/>
      <c r="C408" s="18"/>
      <c r="D408" s="19" t="str">
        <f aca="false">IF($C408="","",IFERROR(INDEX(Estoque!$C$6:$C$45,MATCH($C408,Estoque!$A$6:$A$45,0)),"Código não encontrado"))</f>
        <v/>
      </c>
      <c r="E408" s="19" t="str">
        <f aca="false">IF($C408="","",IFERROR(INDEX(Estoque!$B$6:$B$45,MATCH($C408,Estoque!$A$6:$A$45,0)),"Código não encontrado"))</f>
        <v/>
      </c>
      <c r="F408" s="18"/>
      <c r="G408" s="18"/>
      <c r="H408" s="18"/>
      <c r="I408" s="20" t="str">
        <f aca="false">IF(OR($B408="",$C408=""),"",IF(OR($B408="Retorno de sobra",$B408="Saída de sobra"),IFERROR(VLOOKUP($G408,Listas!$A$2:$B$5,2,FALSE()),0)*IF($H408="",1,$H408),$H408))</f>
        <v/>
      </c>
      <c r="J408" s="21" t="str">
        <f aca="false">IF($C408="","",IF(ISNA(MATCH($C408,Estoque!$A$6:$A$45,0)),"⚠ Código não encontrado",IF(AND(OR($B408="Retorno de sobra",$B408="Saída de sobra"),$G408=""),"⚠ Escolha a medida da sobra",IF(AND(OR($B408="Entrada",$B408="Saída"),$H408=""),"⚠ Informe a quantidade","OK"))))</f>
        <v/>
      </c>
    </row>
    <row r="409" customFormat="false" ht="15" hidden="false" customHeight="false" outlineLevel="0" collapsed="false">
      <c r="A409" s="22"/>
      <c r="B409" s="18"/>
      <c r="C409" s="18"/>
      <c r="D409" s="19" t="str">
        <f aca="false">IF($C409="","",IFERROR(INDEX(Estoque!$C$6:$C$45,MATCH($C409,Estoque!$A$6:$A$45,0)),"Código não encontrado"))</f>
        <v/>
      </c>
      <c r="E409" s="19" t="str">
        <f aca="false">IF($C409="","",IFERROR(INDEX(Estoque!$B$6:$B$45,MATCH($C409,Estoque!$A$6:$A$45,0)),"Código não encontrado"))</f>
        <v/>
      </c>
      <c r="F409" s="18"/>
      <c r="G409" s="18"/>
      <c r="H409" s="18"/>
      <c r="I409" s="20" t="str">
        <f aca="false">IF(OR($B409="",$C409=""),"",IF(OR($B409="Retorno de sobra",$B409="Saída de sobra"),IFERROR(VLOOKUP($G409,Listas!$A$2:$B$5,2,FALSE()),0)*IF($H409="",1,$H409),$H409))</f>
        <v/>
      </c>
      <c r="J409" s="21" t="str">
        <f aca="false">IF($C409="","",IF(ISNA(MATCH($C409,Estoque!$A$6:$A$45,0)),"⚠ Código não encontrado",IF(AND(OR($B409="Retorno de sobra",$B409="Saída de sobra"),$G409=""),"⚠ Escolha a medida da sobra",IF(AND(OR($B409="Entrada",$B409="Saída"),$H409=""),"⚠ Informe a quantidade","OK"))))</f>
        <v/>
      </c>
    </row>
    <row r="410" customFormat="false" ht="15" hidden="false" customHeight="false" outlineLevel="0" collapsed="false">
      <c r="A410" s="22"/>
      <c r="B410" s="18"/>
      <c r="C410" s="18"/>
      <c r="D410" s="19" t="str">
        <f aca="false">IF($C410="","",IFERROR(INDEX(Estoque!$C$6:$C$45,MATCH($C410,Estoque!$A$6:$A$45,0)),"Código não encontrado"))</f>
        <v/>
      </c>
      <c r="E410" s="19" t="str">
        <f aca="false">IF($C410="","",IFERROR(INDEX(Estoque!$B$6:$B$45,MATCH($C410,Estoque!$A$6:$A$45,0)),"Código não encontrado"))</f>
        <v/>
      </c>
      <c r="F410" s="18"/>
      <c r="G410" s="18"/>
      <c r="H410" s="18"/>
      <c r="I410" s="20" t="str">
        <f aca="false">IF(OR($B410="",$C410=""),"",IF(OR($B410="Retorno de sobra",$B410="Saída de sobra"),IFERROR(VLOOKUP($G410,Listas!$A$2:$B$5,2,FALSE()),0)*IF($H410="",1,$H410),$H410))</f>
        <v/>
      </c>
      <c r="J410" s="21" t="str">
        <f aca="false">IF($C410="","",IF(ISNA(MATCH($C410,Estoque!$A$6:$A$45,0)),"⚠ Código não encontrado",IF(AND(OR($B410="Retorno de sobra",$B410="Saída de sobra"),$G410=""),"⚠ Escolha a medida da sobra",IF(AND(OR($B410="Entrada",$B410="Saída"),$H410=""),"⚠ Informe a quantidade","OK"))))</f>
        <v/>
      </c>
    </row>
    <row r="411" customFormat="false" ht="15" hidden="false" customHeight="false" outlineLevel="0" collapsed="false">
      <c r="A411" s="22"/>
      <c r="B411" s="18"/>
      <c r="C411" s="18"/>
      <c r="D411" s="19" t="str">
        <f aca="false">IF($C411="","",IFERROR(INDEX(Estoque!$C$6:$C$45,MATCH($C411,Estoque!$A$6:$A$45,0)),"Código não encontrado"))</f>
        <v/>
      </c>
      <c r="E411" s="19" t="str">
        <f aca="false">IF($C411="","",IFERROR(INDEX(Estoque!$B$6:$B$45,MATCH($C411,Estoque!$A$6:$A$45,0)),"Código não encontrado"))</f>
        <v/>
      </c>
      <c r="F411" s="18"/>
      <c r="G411" s="18"/>
      <c r="H411" s="18"/>
      <c r="I411" s="20" t="str">
        <f aca="false">IF(OR($B411="",$C411=""),"",IF(OR($B411="Retorno de sobra",$B411="Saída de sobra"),IFERROR(VLOOKUP($G411,Listas!$A$2:$B$5,2,FALSE()),0)*IF($H411="",1,$H411),$H411))</f>
        <v/>
      </c>
      <c r="J411" s="21" t="str">
        <f aca="false">IF($C411="","",IF(ISNA(MATCH($C411,Estoque!$A$6:$A$45,0)),"⚠ Código não encontrado",IF(AND(OR($B411="Retorno de sobra",$B411="Saída de sobra"),$G411=""),"⚠ Escolha a medida da sobra",IF(AND(OR($B411="Entrada",$B411="Saída"),$H411=""),"⚠ Informe a quantidade","OK"))))</f>
        <v/>
      </c>
    </row>
    <row r="412" customFormat="false" ht="15" hidden="false" customHeight="false" outlineLevel="0" collapsed="false">
      <c r="A412" s="22"/>
      <c r="B412" s="18"/>
      <c r="C412" s="18"/>
      <c r="D412" s="19" t="str">
        <f aca="false">IF($C412="","",IFERROR(INDEX(Estoque!$C$6:$C$45,MATCH($C412,Estoque!$A$6:$A$45,0)),"Código não encontrado"))</f>
        <v/>
      </c>
      <c r="E412" s="19" t="str">
        <f aca="false">IF($C412="","",IFERROR(INDEX(Estoque!$B$6:$B$45,MATCH($C412,Estoque!$A$6:$A$45,0)),"Código não encontrado"))</f>
        <v/>
      </c>
      <c r="F412" s="18"/>
      <c r="G412" s="18"/>
      <c r="H412" s="18"/>
      <c r="I412" s="20" t="str">
        <f aca="false">IF(OR($B412="",$C412=""),"",IF(OR($B412="Retorno de sobra",$B412="Saída de sobra"),IFERROR(VLOOKUP($G412,Listas!$A$2:$B$5,2,FALSE()),0)*IF($H412="",1,$H412),$H412))</f>
        <v/>
      </c>
      <c r="J412" s="21" t="str">
        <f aca="false">IF($C412="","",IF(ISNA(MATCH($C412,Estoque!$A$6:$A$45,0)),"⚠ Código não encontrado",IF(AND(OR($B412="Retorno de sobra",$B412="Saída de sobra"),$G412=""),"⚠ Escolha a medida da sobra",IF(AND(OR($B412="Entrada",$B412="Saída"),$H412=""),"⚠ Informe a quantidade","OK"))))</f>
        <v/>
      </c>
    </row>
    <row r="413" customFormat="false" ht="15" hidden="false" customHeight="false" outlineLevel="0" collapsed="false">
      <c r="A413" s="22"/>
      <c r="B413" s="18"/>
      <c r="C413" s="18"/>
      <c r="D413" s="19" t="str">
        <f aca="false">IF($C413="","",IFERROR(INDEX(Estoque!$C$6:$C$45,MATCH($C413,Estoque!$A$6:$A$45,0)),"Código não encontrado"))</f>
        <v/>
      </c>
      <c r="E413" s="19" t="str">
        <f aca="false">IF($C413="","",IFERROR(INDEX(Estoque!$B$6:$B$45,MATCH($C413,Estoque!$A$6:$A$45,0)),"Código não encontrado"))</f>
        <v/>
      </c>
      <c r="F413" s="18"/>
      <c r="G413" s="18"/>
      <c r="H413" s="18"/>
      <c r="I413" s="20" t="str">
        <f aca="false">IF(OR($B413="",$C413=""),"",IF(OR($B413="Retorno de sobra",$B413="Saída de sobra"),IFERROR(VLOOKUP($G413,Listas!$A$2:$B$5,2,FALSE()),0)*IF($H413="",1,$H413),$H413))</f>
        <v/>
      </c>
      <c r="J413" s="21" t="str">
        <f aca="false">IF($C413="","",IF(ISNA(MATCH($C413,Estoque!$A$6:$A$45,0)),"⚠ Código não encontrado",IF(AND(OR($B413="Retorno de sobra",$B413="Saída de sobra"),$G413=""),"⚠ Escolha a medida da sobra",IF(AND(OR($B413="Entrada",$B413="Saída"),$H413=""),"⚠ Informe a quantidade","OK"))))</f>
        <v/>
      </c>
    </row>
    <row r="414" customFormat="false" ht="15" hidden="false" customHeight="false" outlineLevel="0" collapsed="false">
      <c r="A414" s="22"/>
      <c r="B414" s="18"/>
      <c r="C414" s="18"/>
      <c r="D414" s="19" t="str">
        <f aca="false">IF($C414="","",IFERROR(INDEX(Estoque!$C$6:$C$45,MATCH($C414,Estoque!$A$6:$A$45,0)),"Código não encontrado"))</f>
        <v/>
      </c>
      <c r="E414" s="19" t="str">
        <f aca="false">IF($C414="","",IFERROR(INDEX(Estoque!$B$6:$B$45,MATCH($C414,Estoque!$A$6:$A$45,0)),"Código não encontrado"))</f>
        <v/>
      </c>
      <c r="F414" s="18"/>
      <c r="G414" s="18"/>
      <c r="H414" s="18"/>
      <c r="I414" s="20" t="str">
        <f aca="false">IF(OR($B414="",$C414=""),"",IF(OR($B414="Retorno de sobra",$B414="Saída de sobra"),IFERROR(VLOOKUP($G414,Listas!$A$2:$B$5,2,FALSE()),0)*IF($H414="",1,$H414),$H414))</f>
        <v/>
      </c>
      <c r="J414" s="21" t="str">
        <f aca="false">IF($C414="","",IF(ISNA(MATCH($C414,Estoque!$A$6:$A$45,0)),"⚠ Código não encontrado",IF(AND(OR($B414="Retorno de sobra",$B414="Saída de sobra"),$G414=""),"⚠ Escolha a medida da sobra",IF(AND(OR($B414="Entrada",$B414="Saída"),$H414=""),"⚠ Informe a quantidade","OK"))))</f>
        <v/>
      </c>
    </row>
    <row r="415" customFormat="false" ht="15" hidden="false" customHeight="false" outlineLevel="0" collapsed="false">
      <c r="A415" s="22"/>
      <c r="B415" s="18"/>
      <c r="C415" s="18"/>
      <c r="D415" s="19" t="str">
        <f aca="false">IF($C415="","",IFERROR(INDEX(Estoque!$C$6:$C$45,MATCH($C415,Estoque!$A$6:$A$45,0)),"Código não encontrado"))</f>
        <v/>
      </c>
      <c r="E415" s="19" t="str">
        <f aca="false">IF($C415="","",IFERROR(INDEX(Estoque!$B$6:$B$45,MATCH($C415,Estoque!$A$6:$A$45,0)),"Código não encontrado"))</f>
        <v/>
      </c>
      <c r="F415" s="18"/>
      <c r="G415" s="18"/>
      <c r="H415" s="18"/>
      <c r="I415" s="20" t="str">
        <f aca="false">IF(OR($B415="",$C415=""),"",IF(OR($B415="Retorno de sobra",$B415="Saída de sobra"),IFERROR(VLOOKUP($G415,Listas!$A$2:$B$5,2,FALSE()),0)*IF($H415="",1,$H415),$H415))</f>
        <v/>
      </c>
      <c r="J415" s="21" t="str">
        <f aca="false">IF($C415="","",IF(ISNA(MATCH($C415,Estoque!$A$6:$A$45,0)),"⚠ Código não encontrado",IF(AND(OR($B415="Retorno de sobra",$B415="Saída de sobra"),$G415=""),"⚠ Escolha a medida da sobra",IF(AND(OR($B415="Entrada",$B415="Saída"),$H415=""),"⚠ Informe a quantidade","OK"))))</f>
        <v/>
      </c>
    </row>
    <row r="416" customFormat="false" ht="15" hidden="false" customHeight="false" outlineLevel="0" collapsed="false">
      <c r="A416" s="22"/>
      <c r="B416" s="18"/>
      <c r="C416" s="18"/>
      <c r="D416" s="19" t="str">
        <f aca="false">IF($C416="","",IFERROR(INDEX(Estoque!$C$6:$C$45,MATCH($C416,Estoque!$A$6:$A$45,0)),"Código não encontrado"))</f>
        <v/>
      </c>
      <c r="E416" s="19" t="str">
        <f aca="false">IF($C416="","",IFERROR(INDEX(Estoque!$B$6:$B$45,MATCH($C416,Estoque!$A$6:$A$45,0)),"Código não encontrado"))</f>
        <v/>
      </c>
      <c r="F416" s="18"/>
      <c r="G416" s="18"/>
      <c r="H416" s="18"/>
      <c r="I416" s="20" t="str">
        <f aca="false">IF(OR($B416="",$C416=""),"",IF(OR($B416="Retorno de sobra",$B416="Saída de sobra"),IFERROR(VLOOKUP($G416,Listas!$A$2:$B$5,2,FALSE()),0)*IF($H416="",1,$H416),$H416))</f>
        <v/>
      </c>
      <c r="J416" s="21" t="str">
        <f aca="false">IF($C416="","",IF(ISNA(MATCH($C416,Estoque!$A$6:$A$45,0)),"⚠ Código não encontrado",IF(AND(OR($B416="Retorno de sobra",$B416="Saída de sobra"),$G416=""),"⚠ Escolha a medida da sobra",IF(AND(OR($B416="Entrada",$B416="Saída"),$H416=""),"⚠ Informe a quantidade","OK"))))</f>
        <v/>
      </c>
    </row>
    <row r="417" customFormat="false" ht="15" hidden="false" customHeight="false" outlineLevel="0" collapsed="false">
      <c r="A417" s="22"/>
      <c r="B417" s="18"/>
      <c r="C417" s="18"/>
      <c r="D417" s="19" t="str">
        <f aca="false">IF($C417="","",IFERROR(INDEX(Estoque!$C$6:$C$45,MATCH($C417,Estoque!$A$6:$A$45,0)),"Código não encontrado"))</f>
        <v/>
      </c>
      <c r="E417" s="19" t="str">
        <f aca="false">IF($C417="","",IFERROR(INDEX(Estoque!$B$6:$B$45,MATCH($C417,Estoque!$A$6:$A$45,0)),"Código não encontrado"))</f>
        <v/>
      </c>
      <c r="F417" s="18"/>
      <c r="G417" s="18"/>
      <c r="H417" s="18"/>
      <c r="I417" s="20" t="str">
        <f aca="false">IF(OR($B417="",$C417=""),"",IF(OR($B417="Retorno de sobra",$B417="Saída de sobra"),IFERROR(VLOOKUP($G417,Listas!$A$2:$B$5,2,FALSE()),0)*IF($H417="",1,$H417),$H417))</f>
        <v/>
      </c>
      <c r="J417" s="21" t="str">
        <f aca="false">IF($C417="","",IF(ISNA(MATCH($C417,Estoque!$A$6:$A$45,0)),"⚠ Código não encontrado",IF(AND(OR($B417="Retorno de sobra",$B417="Saída de sobra"),$G417=""),"⚠ Escolha a medida da sobra",IF(AND(OR($B417="Entrada",$B417="Saída"),$H417=""),"⚠ Informe a quantidade","OK"))))</f>
        <v/>
      </c>
    </row>
    <row r="418" customFormat="false" ht="15" hidden="false" customHeight="false" outlineLevel="0" collapsed="false">
      <c r="A418" s="22"/>
      <c r="B418" s="18"/>
      <c r="C418" s="18"/>
      <c r="D418" s="19" t="str">
        <f aca="false">IF($C418="","",IFERROR(INDEX(Estoque!$C$6:$C$45,MATCH($C418,Estoque!$A$6:$A$45,0)),"Código não encontrado"))</f>
        <v/>
      </c>
      <c r="E418" s="19" t="str">
        <f aca="false">IF($C418="","",IFERROR(INDEX(Estoque!$B$6:$B$45,MATCH($C418,Estoque!$A$6:$A$45,0)),"Código não encontrado"))</f>
        <v/>
      </c>
      <c r="F418" s="18"/>
      <c r="G418" s="18"/>
      <c r="H418" s="18"/>
      <c r="I418" s="20" t="str">
        <f aca="false">IF(OR($B418="",$C418=""),"",IF(OR($B418="Retorno de sobra",$B418="Saída de sobra"),IFERROR(VLOOKUP($G418,Listas!$A$2:$B$5,2,FALSE()),0)*IF($H418="",1,$H418),$H418))</f>
        <v/>
      </c>
      <c r="J418" s="21" t="str">
        <f aca="false">IF($C418="","",IF(ISNA(MATCH($C418,Estoque!$A$6:$A$45,0)),"⚠ Código não encontrado",IF(AND(OR($B418="Retorno de sobra",$B418="Saída de sobra"),$G418=""),"⚠ Escolha a medida da sobra",IF(AND(OR($B418="Entrada",$B418="Saída"),$H418=""),"⚠ Informe a quantidade","OK"))))</f>
        <v/>
      </c>
    </row>
    <row r="419" customFormat="false" ht="15" hidden="false" customHeight="false" outlineLevel="0" collapsed="false">
      <c r="A419" s="22"/>
      <c r="B419" s="18"/>
      <c r="C419" s="18"/>
      <c r="D419" s="19" t="str">
        <f aca="false">IF($C419="","",IFERROR(INDEX(Estoque!$C$6:$C$45,MATCH($C419,Estoque!$A$6:$A$45,0)),"Código não encontrado"))</f>
        <v/>
      </c>
      <c r="E419" s="19" t="str">
        <f aca="false">IF($C419="","",IFERROR(INDEX(Estoque!$B$6:$B$45,MATCH($C419,Estoque!$A$6:$A$45,0)),"Código não encontrado"))</f>
        <v/>
      </c>
      <c r="F419" s="18"/>
      <c r="G419" s="18"/>
      <c r="H419" s="18"/>
      <c r="I419" s="20" t="str">
        <f aca="false">IF(OR($B419="",$C419=""),"",IF(OR($B419="Retorno de sobra",$B419="Saída de sobra"),IFERROR(VLOOKUP($G419,Listas!$A$2:$B$5,2,FALSE()),0)*IF($H419="",1,$H419),$H419))</f>
        <v/>
      </c>
      <c r="J419" s="21" t="str">
        <f aca="false">IF($C419="","",IF(ISNA(MATCH($C419,Estoque!$A$6:$A$45,0)),"⚠ Código não encontrado",IF(AND(OR($B419="Retorno de sobra",$B419="Saída de sobra"),$G419=""),"⚠ Escolha a medida da sobra",IF(AND(OR($B419="Entrada",$B419="Saída"),$H419=""),"⚠ Informe a quantidade","OK"))))</f>
        <v/>
      </c>
    </row>
    <row r="420" customFormat="false" ht="15" hidden="false" customHeight="false" outlineLevel="0" collapsed="false">
      <c r="A420" s="22"/>
      <c r="B420" s="18"/>
      <c r="C420" s="18"/>
      <c r="D420" s="19" t="str">
        <f aca="false">IF($C420="","",IFERROR(INDEX(Estoque!$C$6:$C$45,MATCH($C420,Estoque!$A$6:$A$45,0)),"Código não encontrado"))</f>
        <v/>
      </c>
      <c r="E420" s="19" t="str">
        <f aca="false">IF($C420="","",IFERROR(INDEX(Estoque!$B$6:$B$45,MATCH($C420,Estoque!$A$6:$A$45,0)),"Código não encontrado"))</f>
        <v/>
      </c>
      <c r="F420" s="18"/>
      <c r="G420" s="18"/>
      <c r="H420" s="18"/>
      <c r="I420" s="20" t="str">
        <f aca="false">IF(OR($B420="",$C420=""),"",IF(OR($B420="Retorno de sobra",$B420="Saída de sobra"),IFERROR(VLOOKUP($G420,Listas!$A$2:$B$5,2,FALSE()),0)*IF($H420="",1,$H420),$H420))</f>
        <v/>
      </c>
      <c r="J420" s="21" t="str">
        <f aca="false">IF($C420="","",IF(ISNA(MATCH($C420,Estoque!$A$6:$A$45,0)),"⚠ Código não encontrado",IF(AND(OR($B420="Retorno de sobra",$B420="Saída de sobra"),$G420=""),"⚠ Escolha a medida da sobra",IF(AND(OR($B420="Entrada",$B420="Saída"),$H420=""),"⚠ Informe a quantidade","OK"))))</f>
        <v/>
      </c>
    </row>
    <row r="421" customFormat="false" ht="15" hidden="false" customHeight="false" outlineLevel="0" collapsed="false">
      <c r="A421" s="22"/>
      <c r="B421" s="18"/>
      <c r="C421" s="18"/>
      <c r="D421" s="19" t="str">
        <f aca="false">IF($C421="","",IFERROR(INDEX(Estoque!$C$6:$C$45,MATCH($C421,Estoque!$A$6:$A$45,0)),"Código não encontrado"))</f>
        <v/>
      </c>
      <c r="E421" s="19" t="str">
        <f aca="false">IF($C421="","",IFERROR(INDEX(Estoque!$B$6:$B$45,MATCH($C421,Estoque!$A$6:$A$45,0)),"Código não encontrado"))</f>
        <v/>
      </c>
      <c r="F421" s="18"/>
      <c r="G421" s="18"/>
      <c r="H421" s="18"/>
      <c r="I421" s="20" t="str">
        <f aca="false">IF(OR($B421="",$C421=""),"",IF(OR($B421="Retorno de sobra",$B421="Saída de sobra"),IFERROR(VLOOKUP($G421,Listas!$A$2:$B$5,2,FALSE()),0)*IF($H421="",1,$H421),$H421))</f>
        <v/>
      </c>
      <c r="J421" s="21" t="str">
        <f aca="false">IF($C421="","",IF(ISNA(MATCH($C421,Estoque!$A$6:$A$45,0)),"⚠ Código não encontrado",IF(AND(OR($B421="Retorno de sobra",$B421="Saída de sobra"),$G421=""),"⚠ Escolha a medida da sobra",IF(AND(OR($B421="Entrada",$B421="Saída"),$H421=""),"⚠ Informe a quantidade","OK"))))</f>
        <v/>
      </c>
    </row>
    <row r="422" customFormat="false" ht="15" hidden="false" customHeight="false" outlineLevel="0" collapsed="false">
      <c r="A422" s="22"/>
      <c r="B422" s="18"/>
      <c r="C422" s="18"/>
      <c r="D422" s="19" t="str">
        <f aca="false">IF($C422="","",IFERROR(INDEX(Estoque!$C$6:$C$45,MATCH($C422,Estoque!$A$6:$A$45,0)),"Código não encontrado"))</f>
        <v/>
      </c>
      <c r="E422" s="19" t="str">
        <f aca="false">IF($C422="","",IFERROR(INDEX(Estoque!$B$6:$B$45,MATCH($C422,Estoque!$A$6:$A$45,0)),"Código não encontrado"))</f>
        <v/>
      </c>
      <c r="F422" s="18"/>
      <c r="G422" s="18"/>
      <c r="H422" s="18"/>
      <c r="I422" s="20" t="str">
        <f aca="false">IF(OR($B422="",$C422=""),"",IF(OR($B422="Retorno de sobra",$B422="Saída de sobra"),IFERROR(VLOOKUP($G422,Listas!$A$2:$B$5,2,FALSE()),0)*IF($H422="",1,$H422),$H422))</f>
        <v/>
      </c>
      <c r="J422" s="21" t="str">
        <f aca="false">IF($C422="","",IF(ISNA(MATCH($C422,Estoque!$A$6:$A$45,0)),"⚠ Código não encontrado",IF(AND(OR($B422="Retorno de sobra",$B422="Saída de sobra"),$G422=""),"⚠ Escolha a medida da sobra",IF(AND(OR($B422="Entrada",$B422="Saída"),$H422=""),"⚠ Informe a quantidade","OK"))))</f>
        <v/>
      </c>
    </row>
    <row r="423" customFormat="false" ht="15" hidden="false" customHeight="false" outlineLevel="0" collapsed="false">
      <c r="A423" s="22"/>
      <c r="B423" s="18"/>
      <c r="C423" s="18"/>
      <c r="D423" s="19" t="str">
        <f aca="false">IF($C423="","",IFERROR(INDEX(Estoque!$C$6:$C$45,MATCH($C423,Estoque!$A$6:$A$45,0)),"Código não encontrado"))</f>
        <v/>
      </c>
      <c r="E423" s="19" t="str">
        <f aca="false">IF($C423="","",IFERROR(INDEX(Estoque!$B$6:$B$45,MATCH($C423,Estoque!$A$6:$A$45,0)),"Código não encontrado"))</f>
        <v/>
      </c>
      <c r="F423" s="18"/>
      <c r="G423" s="18"/>
      <c r="H423" s="18"/>
      <c r="I423" s="20" t="str">
        <f aca="false">IF(OR($B423="",$C423=""),"",IF(OR($B423="Retorno de sobra",$B423="Saída de sobra"),IFERROR(VLOOKUP($G423,Listas!$A$2:$B$5,2,FALSE()),0)*IF($H423="",1,$H423),$H423))</f>
        <v/>
      </c>
      <c r="J423" s="21" t="str">
        <f aca="false">IF($C423="","",IF(ISNA(MATCH($C423,Estoque!$A$6:$A$45,0)),"⚠ Código não encontrado",IF(AND(OR($B423="Retorno de sobra",$B423="Saída de sobra"),$G423=""),"⚠ Escolha a medida da sobra",IF(AND(OR($B423="Entrada",$B423="Saída"),$H423=""),"⚠ Informe a quantidade","OK"))))</f>
        <v/>
      </c>
    </row>
    <row r="424" customFormat="false" ht="15" hidden="false" customHeight="false" outlineLevel="0" collapsed="false">
      <c r="A424" s="22"/>
      <c r="B424" s="18"/>
      <c r="C424" s="18"/>
      <c r="D424" s="19" t="str">
        <f aca="false">IF($C424="","",IFERROR(INDEX(Estoque!$C$6:$C$45,MATCH($C424,Estoque!$A$6:$A$45,0)),"Código não encontrado"))</f>
        <v/>
      </c>
      <c r="E424" s="19" t="str">
        <f aca="false">IF($C424="","",IFERROR(INDEX(Estoque!$B$6:$B$45,MATCH($C424,Estoque!$A$6:$A$45,0)),"Código não encontrado"))</f>
        <v/>
      </c>
      <c r="F424" s="18"/>
      <c r="G424" s="18"/>
      <c r="H424" s="18"/>
      <c r="I424" s="20" t="str">
        <f aca="false">IF(OR($B424="",$C424=""),"",IF(OR($B424="Retorno de sobra",$B424="Saída de sobra"),IFERROR(VLOOKUP($G424,Listas!$A$2:$B$5,2,FALSE()),0)*IF($H424="",1,$H424),$H424))</f>
        <v/>
      </c>
      <c r="J424" s="21" t="str">
        <f aca="false">IF($C424="","",IF(ISNA(MATCH($C424,Estoque!$A$6:$A$45,0)),"⚠ Código não encontrado",IF(AND(OR($B424="Retorno de sobra",$B424="Saída de sobra"),$G424=""),"⚠ Escolha a medida da sobra",IF(AND(OR($B424="Entrada",$B424="Saída"),$H424=""),"⚠ Informe a quantidade","OK"))))</f>
        <v/>
      </c>
    </row>
    <row r="425" customFormat="false" ht="15" hidden="false" customHeight="false" outlineLevel="0" collapsed="false">
      <c r="A425" s="22"/>
      <c r="B425" s="18"/>
      <c r="C425" s="18"/>
      <c r="D425" s="19" t="str">
        <f aca="false">IF($C425="","",IFERROR(INDEX(Estoque!$C$6:$C$45,MATCH($C425,Estoque!$A$6:$A$45,0)),"Código não encontrado"))</f>
        <v/>
      </c>
      <c r="E425" s="19" t="str">
        <f aca="false">IF($C425="","",IFERROR(INDEX(Estoque!$B$6:$B$45,MATCH($C425,Estoque!$A$6:$A$45,0)),"Código não encontrado"))</f>
        <v/>
      </c>
      <c r="F425" s="18"/>
      <c r="G425" s="18"/>
      <c r="H425" s="18"/>
      <c r="I425" s="20" t="str">
        <f aca="false">IF(OR($B425="",$C425=""),"",IF(OR($B425="Retorno de sobra",$B425="Saída de sobra"),IFERROR(VLOOKUP($G425,Listas!$A$2:$B$5,2,FALSE()),0)*IF($H425="",1,$H425),$H425))</f>
        <v/>
      </c>
      <c r="J425" s="21" t="str">
        <f aca="false">IF($C425="","",IF(ISNA(MATCH($C425,Estoque!$A$6:$A$45,0)),"⚠ Código não encontrado",IF(AND(OR($B425="Retorno de sobra",$B425="Saída de sobra"),$G425=""),"⚠ Escolha a medida da sobra",IF(AND(OR($B425="Entrada",$B425="Saída"),$H425=""),"⚠ Informe a quantidade","OK"))))</f>
        <v/>
      </c>
    </row>
    <row r="426" customFormat="false" ht="15" hidden="false" customHeight="false" outlineLevel="0" collapsed="false">
      <c r="A426" s="22"/>
      <c r="B426" s="18"/>
      <c r="C426" s="18"/>
      <c r="D426" s="19" t="str">
        <f aca="false">IF($C426="","",IFERROR(INDEX(Estoque!$C$6:$C$45,MATCH($C426,Estoque!$A$6:$A$45,0)),"Código não encontrado"))</f>
        <v/>
      </c>
      <c r="E426" s="19" t="str">
        <f aca="false">IF($C426="","",IFERROR(INDEX(Estoque!$B$6:$B$45,MATCH($C426,Estoque!$A$6:$A$45,0)),"Código não encontrado"))</f>
        <v/>
      </c>
      <c r="F426" s="18"/>
      <c r="G426" s="18"/>
      <c r="H426" s="18"/>
      <c r="I426" s="20" t="str">
        <f aca="false">IF(OR($B426="",$C426=""),"",IF(OR($B426="Retorno de sobra",$B426="Saída de sobra"),IFERROR(VLOOKUP($G426,Listas!$A$2:$B$5,2,FALSE()),0)*IF($H426="",1,$H426),$H426))</f>
        <v/>
      </c>
      <c r="J426" s="21" t="str">
        <f aca="false">IF($C426="","",IF(ISNA(MATCH($C426,Estoque!$A$6:$A$45,0)),"⚠ Código não encontrado",IF(AND(OR($B426="Retorno de sobra",$B426="Saída de sobra"),$G426=""),"⚠ Escolha a medida da sobra",IF(AND(OR($B426="Entrada",$B426="Saída"),$H426=""),"⚠ Informe a quantidade","OK"))))</f>
        <v/>
      </c>
    </row>
    <row r="427" customFormat="false" ht="15" hidden="false" customHeight="false" outlineLevel="0" collapsed="false">
      <c r="A427" s="22"/>
      <c r="B427" s="18"/>
      <c r="C427" s="18"/>
      <c r="D427" s="19" t="str">
        <f aca="false">IF($C427="","",IFERROR(INDEX(Estoque!$C$6:$C$45,MATCH($C427,Estoque!$A$6:$A$45,0)),"Código não encontrado"))</f>
        <v/>
      </c>
      <c r="E427" s="19" t="str">
        <f aca="false">IF($C427="","",IFERROR(INDEX(Estoque!$B$6:$B$45,MATCH($C427,Estoque!$A$6:$A$45,0)),"Código não encontrado"))</f>
        <v/>
      </c>
      <c r="F427" s="18"/>
      <c r="G427" s="18"/>
      <c r="H427" s="18"/>
      <c r="I427" s="20" t="str">
        <f aca="false">IF(OR($B427="",$C427=""),"",IF(OR($B427="Retorno de sobra",$B427="Saída de sobra"),IFERROR(VLOOKUP($G427,Listas!$A$2:$B$5,2,FALSE()),0)*IF($H427="",1,$H427),$H427))</f>
        <v/>
      </c>
      <c r="J427" s="21" t="str">
        <f aca="false">IF($C427="","",IF(ISNA(MATCH($C427,Estoque!$A$6:$A$45,0)),"⚠ Código não encontrado",IF(AND(OR($B427="Retorno de sobra",$B427="Saída de sobra"),$G427=""),"⚠ Escolha a medida da sobra",IF(AND(OR($B427="Entrada",$B427="Saída"),$H427=""),"⚠ Informe a quantidade","OK"))))</f>
        <v/>
      </c>
    </row>
    <row r="428" customFormat="false" ht="15" hidden="false" customHeight="false" outlineLevel="0" collapsed="false">
      <c r="A428" s="22"/>
      <c r="B428" s="18"/>
      <c r="C428" s="18"/>
      <c r="D428" s="19" t="str">
        <f aca="false">IF($C428="","",IFERROR(INDEX(Estoque!$C$6:$C$45,MATCH($C428,Estoque!$A$6:$A$45,0)),"Código não encontrado"))</f>
        <v/>
      </c>
      <c r="E428" s="19" t="str">
        <f aca="false">IF($C428="","",IFERROR(INDEX(Estoque!$B$6:$B$45,MATCH($C428,Estoque!$A$6:$A$45,0)),"Código não encontrado"))</f>
        <v/>
      </c>
      <c r="F428" s="18"/>
      <c r="G428" s="18"/>
      <c r="H428" s="18"/>
      <c r="I428" s="20" t="str">
        <f aca="false">IF(OR($B428="",$C428=""),"",IF(OR($B428="Retorno de sobra",$B428="Saída de sobra"),IFERROR(VLOOKUP($G428,Listas!$A$2:$B$5,2,FALSE()),0)*IF($H428="",1,$H428),$H428))</f>
        <v/>
      </c>
      <c r="J428" s="21" t="str">
        <f aca="false">IF($C428="","",IF(ISNA(MATCH($C428,Estoque!$A$6:$A$45,0)),"⚠ Código não encontrado",IF(AND(OR($B428="Retorno de sobra",$B428="Saída de sobra"),$G428=""),"⚠ Escolha a medida da sobra",IF(AND(OR($B428="Entrada",$B428="Saída"),$H428=""),"⚠ Informe a quantidade","OK"))))</f>
        <v/>
      </c>
    </row>
    <row r="429" customFormat="false" ht="15" hidden="false" customHeight="false" outlineLevel="0" collapsed="false">
      <c r="A429" s="22"/>
      <c r="B429" s="18"/>
      <c r="C429" s="18"/>
      <c r="D429" s="19" t="str">
        <f aca="false">IF($C429="","",IFERROR(INDEX(Estoque!$C$6:$C$45,MATCH($C429,Estoque!$A$6:$A$45,0)),"Código não encontrado"))</f>
        <v/>
      </c>
      <c r="E429" s="19" t="str">
        <f aca="false">IF($C429="","",IFERROR(INDEX(Estoque!$B$6:$B$45,MATCH($C429,Estoque!$A$6:$A$45,0)),"Código não encontrado"))</f>
        <v/>
      </c>
      <c r="F429" s="18"/>
      <c r="G429" s="18"/>
      <c r="H429" s="18"/>
      <c r="I429" s="20" t="str">
        <f aca="false">IF(OR($B429="",$C429=""),"",IF(OR($B429="Retorno de sobra",$B429="Saída de sobra"),IFERROR(VLOOKUP($G429,Listas!$A$2:$B$5,2,FALSE()),0)*IF($H429="",1,$H429),$H429))</f>
        <v/>
      </c>
      <c r="J429" s="21" t="str">
        <f aca="false">IF($C429="","",IF(ISNA(MATCH($C429,Estoque!$A$6:$A$45,0)),"⚠ Código não encontrado",IF(AND(OR($B429="Retorno de sobra",$B429="Saída de sobra"),$G429=""),"⚠ Escolha a medida da sobra",IF(AND(OR($B429="Entrada",$B429="Saída"),$H429=""),"⚠ Informe a quantidade","OK"))))</f>
        <v/>
      </c>
    </row>
    <row r="430" customFormat="false" ht="15" hidden="false" customHeight="false" outlineLevel="0" collapsed="false">
      <c r="A430" s="22"/>
      <c r="B430" s="18"/>
      <c r="C430" s="18"/>
      <c r="D430" s="19" t="str">
        <f aca="false">IF($C430="","",IFERROR(INDEX(Estoque!$C$6:$C$45,MATCH($C430,Estoque!$A$6:$A$45,0)),"Código não encontrado"))</f>
        <v/>
      </c>
      <c r="E430" s="19" t="str">
        <f aca="false">IF($C430="","",IFERROR(INDEX(Estoque!$B$6:$B$45,MATCH($C430,Estoque!$A$6:$A$45,0)),"Código não encontrado"))</f>
        <v/>
      </c>
      <c r="F430" s="18"/>
      <c r="G430" s="18"/>
      <c r="H430" s="18"/>
      <c r="I430" s="20" t="str">
        <f aca="false">IF(OR($B430="",$C430=""),"",IF(OR($B430="Retorno de sobra",$B430="Saída de sobra"),IFERROR(VLOOKUP($G430,Listas!$A$2:$B$5,2,FALSE()),0)*IF($H430="",1,$H430),$H430))</f>
        <v/>
      </c>
      <c r="J430" s="21" t="str">
        <f aca="false">IF($C430="","",IF(ISNA(MATCH($C430,Estoque!$A$6:$A$45,0)),"⚠ Código não encontrado",IF(AND(OR($B430="Retorno de sobra",$B430="Saída de sobra"),$G430=""),"⚠ Escolha a medida da sobra",IF(AND(OR($B430="Entrada",$B430="Saída"),$H430=""),"⚠ Informe a quantidade","OK"))))</f>
        <v/>
      </c>
    </row>
    <row r="431" customFormat="false" ht="15" hidden="false" customHeight="false" outlineLevel="0" collapsed="false">
      <c r="A431" s="22"/>
      <c r="B431" s="18"/>
      <c r="C431" s="18"/>
      <c r="D431" s="19" t="str">
        <f aca="false">IF($C431="","",IFERROR(INDEX(Estoque!$C$6:$C$45,MATCH($C431,Estoque!$A$6:$A$45,0)),"Código não encontrado"))</f>
        <v/>
      </c>
      <c r="E431" s="19" t="str">
        <f aca="false">IF($C431="","",IFERROR(INDEX(Estoque!$B$6:$B$45,MATCH($C431,Estoque!$A$6:$A$45,0)),"Código não encontrado"))</f>
        <v/>
      </c>
      <c r="F431" s="18"/>
      <c r="G431" s="18"/>
      <c r="H431" s="18"/>
      <c r="I431" s="20" t="str">
        <f aca="false">IF(OR($B431="",$C431=""),"",IF(OR($B431="Retorno de sobra",$B431="Saída de sobra"),IFERROR(VLOOKUP($G431,Listas!$A$2:$B$5,2,FALSE()),0)*IF($H431="",1,$H431),$H431))</f>
        <v/>
      </c>
      <c r="J431" s="21" t="str">
        <f aca="false">IF($C431="","",IF(ISNA(MATCH($C431,Estoque!$A$6:$A$45,0)),"⚠ Código não encontrado",IF(AND(OR($B431="Retorno de sobra",$B431="Saída de sobra"),$G431=""),"⚠ Escolha a medida da sobra",IF(AND(OR($B431="Entrada",$B431="Saída"),$H431=""),"⚠ Informe a quantidade","OK"))))</f>
        <v/>
      </c>
    </row>
    <row r="432" customFormat="false" ht="15" hidden="false" customHeight="false" outlineLevel="0" collapsed="false">
      <c r="A432" s="22"/>
      <c r="B432" s="18"/>
      <c r="C432" s="18"/>
      <c r="D432" s="19" t="str">
        <f aca="false">IF($C432="","",IFERROR(INDEX(Estoque!$C$6:$C$45,MATCH($C432,Estoque!$A$6:$A$45,0)),"Código não encontrado"))</f>
        <v/>
      </c>
      <c r="E432" s="19" t="str">
        <f aca="false">IF($C432="","",IFERROR(INDEX(Estoque!$B$6:$B$45,MATCH($C432,Estoque!$A$6:$A$45,0)),"Código não encontrado"))</f>
        <v/>
      </c>
      <c r="F432" s="18"/>
      <c r="G432" s="18"/>
      <c r="H432" s="18"/>
      <c r="I432" s="20" t="str">
        <f aca="false">IF(OR($B432="",$C432=""),"",IF(OR($B432="Retorno de sobra",$B432="Saída de sobra"),IFERROR(VLOOKUP($G432,Listas!$A$2:$B$5,2,FALSE()),0)*IF($H432="",1,$H432),$H432))</f>
        <v/>
      </c>
      <c r="J432" s="21" t="str">
        <f aca="false">IF($C432="","",IF(ISNA(MATCH($C432,Estoque!$A$6:$A$45,0)),"⚠ Código não encontrado",IF(AND(OR($B432="Retorno de sobra",$B432="Saída de sobra"),$G432=""),"⚠ Escolha a medida da sobra",IF(AND(OR($B432="Entrada",$B432="Saída"),$H432=""),"⚠ Informe a quantidade","OK"))))</f>
        <v/>
      </c>
    </row>
    <row r="433" customFormat="false" ht="15" hidden="false" customHeight="false" outlineLevel="0" collapsed="false">
      <c r="A433" s="22"/>
      <c r="B433" s="18"/>
      <c r="C433" s="18"/>
      <c r="D433" s="19" t="str">
        <f aca="false">IF($C433="","",IFERROR(INDEX(Estoque!$C$6:$C$45,MATCH($C433,Estoque!$A$6:$A$45,0)),"Código não encontrado"))</f>
        <v/>
      </c>
      <c r="E433" s="19" t="str">
        <f aca="false">IF($C433="","",IFERROR(INDEX(Estoque!$B$6:$B$45,MATCH($C433,Estoque!$A$6:$A$45,0)),"Código não encontrado"))</f>
        <v/>
      </c>
      <c r="F433" s="18"/>
      <c r="G433" s="18"/>
      <c r="H433" s="18"/>
      <c r="I433" s="20" t="str">
        <f aca="false">IF(OR($B433="",$C433=""),"",IF(OR($B433="Retorno de sobra",$B433="Saída de sobra"),IFERROR(VLOOKUP($G433,Listas!$A$2:$B$5,2,FALSE()),0)*IF($H433="",1,$H433),$H433))</f>
        <v/>
      </c>
      <c r="J433" s="21" t="str">
        <f aca="false">IF($C433="","",IF(ISNA(MATCH($C433,Estoque!$A$6:$A$45,0)),"⚠ Código não encontrado",IF(AND(OR($B433="Retorno de sobra",$B433="Saída de sobra"),$G433=""),"⚠ Escolha a medida da sobra",IF(AND(OR($B433="Entrada",$B433="Saída"),$H433=""),"⚠ Informe a quantidade","OK"))))</f>
        <v/>
      </c>
    </row>
    <row r="434" customFormat="false" ht="15" hidden="false" customHeight="false" outlineLevel="0" collapsed="false">
      <c r="A434" s="22"/>
      <c r="B434" s="18"/>
      <c r="C434" s="18"/>
      <c r="D434" s="19" t="str">
        <f aca="false">IF($C434="","",IFERROR(INDEX(Estoque!$C$6:$C$45,MATCH($C434,Estoque!$A$6:$A$45,0)),"Código não encontrado"))</f>
        <v/>
      </c>
      <c r="E434" s="19" t="str">
        <f aca="false">IF($C434="","",IFERROR(INDEX(Estoque!$B$6:$B$45,MATCH($C434,Estoque!$A$6:$A$45,0)),"Código não encontrado"))</f>
        <v/>
      </c>
      <c r="F434" s="18"/>
      <c r="G434" s="18"/>
      <c r="H434" s="18"/>
      <c r="I434" s="20" t="str">
        <f aca="false">IF(OR($B434="",$C434=""),"",IF(OR($B434="Retorno de sobra",$B434="Saída de sobra"),IFERROR(VLOOKUP($G434,Listas!$A$2:$B$5,2,FALSE()),0)*IF($H434="",1,$H434),$H434))</f>
        <v/>
      </c>
      <c r="J434" s="21" t="str">
        <f aca="false">IF($C434="","",IF(ISNA(MATCH($C434,Estoque!$A$6:$A$45,0)),"⚠ Código não encontrado",IF(AND(OR($B434="Retorno de sobra",$B434="Saída de sobra"),$G434=""),"⚠ Escolha a medida da sobra",IF(AND(OR($B434="Entrada",$B434="Saída"),$H434=""),"⚠ Informe a quantidade","OK"))))</f>
        <v/>
      </c>
    </row>
    <row r="435" customFormat="false" ht="15" hidden="false" customHeight="false" outlineLevel="0" collapsed="false">
      <c r="A435" s="22"/>
      <c r="B435" s="18"/>
      <c r="C435" s="18"/>
      <c r="D435" s="19" t="str">
        <f aca="false">IF($C435="","",IFERROR(INDEX(Estoque!$C$6:$C$45,MATCH($C435,Estoque!$A$6:$A$45,0)),"Código não encontrado"))</f>
        <v/>
      </c>
      <c r="E435" s="19" t="str">
        <f aca="false">IF($C435="","",IFERROR(INDEX(Estoque!$B$6:$B$45,MATCH($C435,Estoque!$A$6:$A$45,0)),"Código não encontrado"))</f>
        <v/>
      </c>
      <c r="F435" s="18"/>
      <c r="G435" s="18"/>
      <c r="H435" s="18"/>
      <c r="I435" s="20" t="str">
        <f aca="false">IF(OR($B435="",$C435=""),"",IF(OR($B435="Retorno de sobra",$B435="Saída de sobra"),IFERROR(VLOOKUP($G435,Listas!$A$2:$B$5,2,FALSE()),0)*IF($H435="",1,$H435),$H435))</f>
        <v/>
      </c>
      <c r="J435" s="21" t="str">
        <f aca="false">IF($C435="","",IF(ISNA(MATCH($C435,Estoque!$A$6:$A$45,0)),"⚠ Código não encontrado",IF(AND(OR($B435="Retorno de sobra",$B435="Saída de sobra"),$G435=""),"⚠ Escolha a medida da sobra",IF(AND(OR($B435="Entrada",$B435="Saída"),$H435=""),"⚠ Informe a quantidade","OK"))))</f>
        <v/>
      </c>
    </row>
    <row r="436" customFormat="false" ht="15" hidden="false" customHeight="false" outlineLevel="0" collapsed="false">
      <c r="A436" s="22"/>
      <c r="B436" s="18"/>
      <c r="C436" s="18"/>
      <c r="D436" s="19" t="str">
        <f aca="false">IF($C436="","",IFERROR(INDEX(Estoque!$C$6:$C$45,MATCH($C436,Estoque!$A$6:$A$45,0)),"Código não encontrado"))</f>
        <v/>
      </c>
      <c r="E436" s="19" t="str">
        <f aca="false">IF($C436="","",IFERROR(INDEX(Estoque!$B$6:$B$45,MATCH($C436,Estoque!$A$6:$A$45,0)),"Código não encontrado"))</f>
        <v/>
      </c>
      <c r="F436" s="18"/>
      <c r="G436" s="18"/>
      <c r="H436" s="18"/>
      <c r="I436" s="20" t="str">
        <f aca="false">IF(OR($B436="",$C436=""),"",IF(OR($B436="Retorno de sobra",$B436="Saída de sobra"),IFERROR(VLOOKUP($G436,Listas!$A$2:$B$5,2,FALSE()),0)*IF($H436="",1,$H436),$H436))</f>
        <v/>
      </c>
      <c r="J436" s="21" t="str">
        <f aca="false">IF($C436="","",IF(ISNA(MATCH($C436,Estoque!$A$6:$A$45,0)),"⚠ Código não encontrado",IF(AND(OR($B436="Retorno de sobra",$B436="Saída de sobra"),$G436=""),"⚠ Escolha a medida da sobra",IF(AND(OR($B436="Entrada",$B436="Saída"),$H436=""),"⚠ Informe a quantidade","OK"))))</f>
        <v/>
      </c>
    </row>
    <row r="437" customFormat="false" ht="15" hidden="false" customHeight="false" outlineLevel="0" collapsed="false">
      <c r="A437" s="22"/>
      <c r="B437" s="18"/>
      <c r="C437" s="18"/>
      <c r="D437" s="19" t="str">
        <f aca="false">IF($C437="","",IFERROR(INDEX(Estoque!$C$6:$C$45,MATCH($C437,Estoque!$A$6:$A$45,0)),"Código não encontrado"))</f>
        <v/>
      </c>
      <c r="E437" s="19" t="str">
        <f aca="false">IF($C437="","",IFERROR(INDEX(Estoque!$B$6:$B$45,MATCH($C437,Estoque!$A$6:$A$45,0)),"Código não encontrado"))</f>
        <v/>
      </c>
      <c r="F437" s="18"/>
      <c r="G437" s="18"/>
      <c r="H437" s="18"/>
      <c r="I437" s="20" t="str">
        <f aca="false">IF(OR($B437="",$C437=""),"",IF(OR($B437="Retorno de sobra",$B437="Saída de sobra"),IFERROR(VLOOKUP($G437,Listas!$A$2:$B$5,2,FALSE()),0)*IF($H437="",1,$H437),$H437))</f>
        <v/>
      </c>
      <c r="J437" s="21" t="str">
        <f aca="false">IF($C437="","",IF(ISNA(MATCH($C437,Estoque!$A$6:$A$45,0)),"⚠ Código não encontrado",IF(AND(OR($B437="Retorno de sobra",$B437="Saída de sobra"),$G437=""),"⚠ Escolha a medida da sobra",IF(AND(OR($B437="Entrada",$B437="Saída"),$H437=""),"⚠ Informe a quantidade","OK"))))</f>
        <v/>
      </c>
    </row>
    <row r="438" customFormat="false" ht="15" hidden="false" customHeight="false" outlineLevel="0" collapsed="false">
      <c r="A438" s="22"/>
      <c r="B438" s="18"/>
      <c r="C438" s="18"/>
      <c r="D438" s="19" t="str">
        <f aca="false">IF($C438="","",IFERROR(INDEX(Estoque!$C$6:$C$45,MATCH($C438,Estoque!$A$6:$A$45,0)),"Código não encontrado"))</f>
        <v/>
      </c>
      <c r="E438" s="19" t="str">
        <f aca="false">IF($C438="","",IFERROR(INDEX(Estoque!$B$6:$B$45,MATCH($C438,Estoque!$A$6:$A$45,0)),"Código não encontrado"))</f>
        <v/>
      </c>
      <c r="F438" s="18"/>
      <c r="G438" s="18"/>
      <c r="H438" s="18"/>
      <c r="I438" s="20" t="str">
        <f aca="false">IF(OR($B438="",$C438=""),"",IF(OR($B438="Retorno de sobra",$B438="Saída de sobra"),IFERROR(VLOOKUP($G438,Listas!$A$2:$B$5,2,FALSE()),0)*IF($H438="",1,$H438),$H438))</f>
        <v/>
      </c>
      <c r="J438" s="21" t="str">
        <f aca="false">IF($C438="","",IF(ISNA(MATCH($C438,Estoque!$A$6:$A$45,0)),"⚠ Código não encontrado",IF(AND(OR($B438="Retorno de sobra",$B438="Saída de sobra"),$G438=""),"⚠ Escolha a medida da sobra",IF(AND(OR($B438="Entrada",$B438="Saída"),$H438=""),"⚠ Informe a quantidade","OK"))))</f>
        <v/>
      </c>
    </row>
    <row r="439" customFormat="false" ht="15" hidden="false" customHeight="false" outlineLevel="0" collapsed="false">
      <c r="A439" s="22"/>
      <c r="B439" s="18"/>
      <c r="C439" s="18"/>
      <c r="D439" s="19" t="str">
        <f aca="false">IF($C439="","",IFERROR(INDEX(Estoque!$C$6:$C$45,MATCH($C439,Estoque!$A$6:$A$45,0)),"Código não encontrado"))</f>
        <v/>
      </c>
      <c r="E439" s="19" t="str">
        <f aca="false">IF($C439="","",IFERROR(INDEX(Estoque!$B$6:$B$45,MATCH($C439,Estoque!$A$6:$A$45,0)),"Código não encontrado"))</f>
        <v/>
      </c>
      <c r="F439" s="18"/>
      <c r="G439" s="18"/>
      <c r="H439" s="18"/>
      <c r="I439" s="20" t="str">
        <f aca="false">IF(OR($B439="",$C439=""),"",IF(OR($B439="Retorno de sobra",$B439="Saída de sobra"),IFERROR(VLOOKUP($G439,Listas!$A$2:$B$5,2,FALSE()),0)*IF($H439="",1,$H439),$H439))</f>
        <v/>
      </c>
      <c r="J439" s="21" t="str">
        <f aca="false">IF($C439="","",IF(ISNA(MATCH($C439,Estoque!$A$6:$A$45,0)),"⚠ Código não encontrado",IF(AND(OR($B439="Retorno de sobra",$B439="Saída de sobra"),$G439=""),"⚠ Escolha a medida da sobra",IF(AND(OR($B439="Entrada",$B439="Saída"),$H439=""),"⚠ Informe a quantidade","OK"))))</f>
        <v/>
      </c>
    </row>
    <row r="440" customFormat="false" ht="15" hidden="false" customHeight="false" outlineLevel="0" collapsed="false">
      <c r="A440" s="22"/>
      <c r="B440" s="18"/>
      <c r="C440" s="18"/>
      <c r="D440" s="19" t="str">
        <f aca="false">IF($C440="","",IFERROR(INDEX(Estoque!$C$6:$C$45,MATCH($C440,Estoque!$A$6:$A$45,0)),"Código não encontrado"))</f>
        <v/>
      </c>
      <c r="E440" s="19" t="str">
        <f aca="false">IF($C440="","",IFERROR(INDEX(Estoque!$B$6:$B$45,MATCH($C440,Estoque!$A$6:$A$45,0)),"Código não encontrado"))</f>
        <v/>
      </c>
      <c r="F440" s="18"/>
      <c r="G440" s="18"/>
      <c r="H440" s="18"/>
      <c r="I440" s="20" t="str">
        <f aca="false">IF(OR($B440="",$C440=""),"",IF(OR($B440="Retorno de sobra",$B440="Saída de sobra"),IFERROR(VLOOKUP($G440,Listas!$A$2:$B$5,2,FALSE()),0)*IF($H440="",1,$H440),$H440))</f>
        <v/>
      </c>
      <c r="J440" s="21" t="str">
        <f aca="false">IF($C440="","",IF(ISNA(MATCH($C440,Estoque!$A$6:$A$45,0)),"⚠ Código não encontrado",IF(AND(OR($B440="Retorno de sobra",$B440="Saída de sobra"),$G440=""),"⚠ Escolha a medida da sobra",IF(AND(OR($B440="Entrada",$B440="Saída"),$H440=""),"⚠ Informe a quantidade","OK"))))</f>
        <v/>
      </c>
    </row>
    <row r="441" customFormat="false" ht="15" hidden="false" customHeight="false" outlineLevel="0" collapsed="false">
      <c r="A441" s="22"/>
      <c r="B441" s="18"/>
      <c r="C441" s="18"/>
      <c r="D441" s="19" t="str">
        <f aca="false">IF($C441="","",IFERROR(INDEX(Estoque!$C$6:$C$45,MATCH($C441,Estoque!$A$6:$A$45,0)),"Código não encontrado"))</f>
        <v/>
      </c>
      <c r="E441" s="19" t="str">
        <f aca="false">IF($C441="","",IFERROR(INDEX(Estoque!$B$6:$B$45,MATCH($C441,Estoque!$A$6:$A$45,0)),"Código não encontrado"))</f>
        <v/>
      </c>
      <c r="F441" s="18"/>
      <c r="G441" s="18"/>
      <c r="H441" s="18"/>
      <c r="I441" s="20" t="str">
        <f aca="false">IF(OR($B441="",$C441=""),"",IF(OR($B441="Retorno de sobra",$B441="Saída de sobra"),IFERROR(VLOOKUP($G441,Listas!$A$2:$B$5,2,FALSE()),0)*IF($H441="",1,$H441),$H441))</f>
        <v/>
      </c>
      <c r="J441" s="21" t="str">
        <f aca="false">IF($C441="","",IF(ISNA(MATCH($C441,Estoque!$A$6:$A$45,0)),"⚠ Código não encontrado",IF(AND(OR($B441="Retorno de sobra",$B441="Saída de sobra"),$G441=""),"⚠ Escolha a medida da sobra",IF(AND(OR($B441="Entrada",$B441="Saída"),$H441=""),"⚠ Informe a quantidade","OK"))))</f>
        <v/>
      </c>
    </row>
    <row r="442" customFormat="false" ht="15" hidden="false" customHeight="false" outlineLevel="0" collapsed="false">
      <c r="A442" s="22"/>
      <c r="B442" s="18"/>
      <c r="C442" s="18"/>
      <c r="D442" s="19" t="str">
        <f aca="false">IF($C442="","",IFERROR(INDEX(Estoque!$C$6:$C$45,MATCH($C442,Estoque!$A$6:$A$45,0)),"Código não encontrado"))</f>
        <v/>
      </c>
      <c r="E442" s="19" t="str">
        <f aca="false">IF($C442="","",IFERROR(INDEX(Estoque!$B$6:$B$45,MATCH($C442,Estoque!$A$6:$A$45,0)),"Código não encontrado"))</f>
        <v/>
      </c>
      <c r="F442" s="18"/>
      <c r="G442" s="18"/>
      <c r="H442" s="18"/>
      <c r="I442" s="20" t="str">
        <f aca="false">IF(OR($B442="",$C442=""),"",IF(OR($B442="Retorno de sobra",$B442="Saída de sobra"),IFERROR(VLOOKUP($G442,Listas!$A$2:$B$5,2,FALSE()),0)*IF($H442="",1,$H442),$H442))</f>
        <v/>
      </c>
      <c r="J442" s="21" t="str">
        <f aca="false">IF($C442="","",IF(ISNA(MATCH($C442,Estoque!$A$6:$A$45,0)),"⚠ Código não encontrado",IF(AND(OR($B442="Retorno de sobra",$B442="Saída de sobra"),$G442=""),"⚠ Escolha a medida da sobra",IF(AND(OR($B442="Entrada",$B442="Saída"),$H442=""),"⚠ Informe a quantidade","OK"))))</f>
        <v/>
      </c>
    </row>
    <row r="443" customFormat="false" ht="15" hidden="false" customHeight="false" outlineLevel="0" collapsed="false">
      <c r="A443" s="22"/>
      <c r="B443" s="18"/>
      <c r="C443" s="18"/>
      <c r="D443" s="19" t="str">
        <f aca="false">IF($C443="","",IFERROR(INDEX(Estoque!$C$6:$C$45,MATCH($C443,Estoque!$A$6:$A$45,0)),"Código não encontrado"))</f>
        <v/>
      </c>
      <c r="E443" s="19" t="str">
        <f aca="false">IF($C443="","",IFERROR(INDEX(Estoque!$B$6:$B$45,MATCH($C443,Estoque!$A$6:$A$45,0)),"Código não encontrado"))</f>
        <v/>
      </c>
      <c r="F443" s="18"/>
      <c r="G443" s="18"/>
      <c r="H443" s="18"/>
      <c r="I443" s="20" t="str">
        <f aca="false">IF(OR($B443="",$C443=""),"",IF(OR($B443="Retorno de sobra",$B443="Saída de sobra"),IFERROR(VLOOKUP($G443,Listas!$A$2:$B$5,2,FALSE()),0)*IF($H443="",1,$H443),$H443))</f>
        <v/>
      </c>
      <c r="J443" s="21" t="str">
        <f aca="false">IF($C443="","",IF(ISNA(MATCH($C443,Estoque!$A$6:$A$45,0)),"⚠ Código não encontrado",IF(AND(OR($B443="Retorno de sobra",$B443="Saída de sobra"),$G443=""),"⚠ Escolha a medida da sobra",IF(AND(OR($B443="Entrada",$B443="Saída"),$H443=""),"⚠ Informe a quantidade","OK"))))</f>
        <v/>
      </c>
    </row>
    <row r="444" customFormat="false" ht="15" hidden="false" customHeight="false" outlineLevel="0" collapsed="false">
      <c r="A444" s="22"/>
      <c r="B444" s="18"/>
      <c r="C444" s="18"/>
      <c r="D444" s="19" t="str">
        <f aca="false">IF($C444="","",IFERROR(INDEX(Estoque!$C$6:$C$45,MATCH($C444,Estoque!$A$6:$A$45,0)),"Código não encontrado"))</f>
        <v/>
      </c>
      <c r="E444" s="19" t="str">
        <f aca="false">IF($C444="","",IFERROR(INDEX(Estoque!$B$6:$B$45,MATCH($C444,Estoque!$A$6:$A$45,0)),"Código não encontrado"))</f>
        <v/>
      </c>
      <c r="F444" s="18"/>
      <c r="G444" s="18"/>
      <c r="H444" s="18"/>
      <c r="I444" s="20" t="str">
        <f aca="false">IF(OR($B444="",$C444=""),"",IF(OR($B444="Retorno de sobra",$B444="Saída de sobra"),IFERROR(VLOOKUP($G444,Listas!$A$2:$B$5,2,FALSE()),0)*IF($H444="",1,$H444),$H444))</f>
        <v/>
      </c>
      <c r="J444" s="21" t="str">
        <f aca="false">IF($C444="","",IF(ISNA(MATCH($C444,Estoque!$A$6:$A$45,0)),"⚠ Código não encontrado",IF(AND(OR($B444="Retorno de sobra",$B444="Saída de sobra"),$G444=""),"⚠ Escolha a medida da sobra",IF(AND(OR($B444="Entrada",$B444="Saída"),$H444=""),"⚠ Informe a quantidade","OK"))))</f>
        <v/>
      </c>
    </row>
    <row r="445" customFormat="false" ht="15" hidden="false" customHeight="false" outlineLevel="0" collapsed="false">
      <c r="A445" s="22"/>
      <c r="B445" s="18"/>
      <c r="C445" s="18"/>
      <c r="D445" s="19" t="str">
        <f aca="false">IF($C445="","",IFERROR(INDEX(Estoque!$C$6:$C$45,MATCH($C445,Estoque!$A$6:$A$45,0)),"Código não encontrado"))</f>
        <v/>
      </c>
      <c r="E445" s="19" t="str">
        <f aca="false">IF($C445="","",IFERROR(INDEX(Estoque!$B$6:$B$45,MATCH($C445,Estoque!$A$6:$A$45,0)),"Código não encontrado"))</f>
        <v/>
      </c>
      <c r="F445" s="18"/>
      <c r="G445" s="18"/>
      <c r="H445" s="18"/>
      <c r="I445" s="20" t="str">
        <f aca="false">IF(OR($B445="",$C445=""),"",IF(OR($B445="Retorno de sobra",$B445="Saída de sobra"),IFERROR(VLOOKUP($G445,Listas!$A$2:$B$5,2,FALSE()),0)*IF($H445="",1,$H445),$H445))</f>
        <v/>
      </c>
      <c r="J445" s="21" t="str">
        <f aca="false">IF($C445="","",IF(ISNA(MATCH($C445,Estoque!$A$6:$A$45,0)),"⚠ Código não encontrado",IF(AND(OR($B445="Retorno de sobra",$B445="Saída de sobra"),$G445=""),"⚠ Escolha a medida da sobra",IF(AND(OR($B445="Entrada",$B445="Saída"),$H445=""),"⚠ Informe a quantidade","OK"))))</f>
        <v/>
      </c>
    </row>
    <row r="446" customFormat="false" ht="15" hidden="false" customHeight="false" outlineLevel="0" collapsed="false">
      <c r="A446" s="22"/>
      <c r="B446" s="18"/>
      <c r="C446" s="18"/>
      <c r="D446" s="19" t="str">
        <f aca="false">IF($C446="","",IFERROR(INDEX(Estoque!$C$6:$C$45,MATCH($C446,Estoque!$A$6:$A$45,0)),"Código não encontrado"))</f>
        <v/>
      </c>
      <c r="E446" s="19" t="str">
        <f aca="false">IF($C446="","",IFERROR(INDEX(Estoque!$B$6:$B$45,MATCH($C446,Estoque!$A$6:$A$45,0)),"Código não encontrado"))</f>
        <v/>
      </c>
      <c r="F446" s="18"/>
      <c r="G446" s="18"/>
      <c r="H446" s="18"/>
      <c r="I446" s="20" t="str">
        <f aca="false">IF(OR($B446="",$C446=""),"",IF(OR($B446="Retorno de sobra",$B446="Saída de sobra"),IFERROR(VLOOKUP($G446,Listas!$A$2:$B$5,2,FALSE()),0)*IF($H446="",1,$H446),$H446))</f>
        <v/>
      </c>
      <c r="J446" s="21" t="str">
        <f aca="false">IF($C446="","",IF(ISNA(MATCH($C446,Estoque!$A$6:$A$45,0)),"⚠ Código não encontrado",IF(AND(OR($B446="Retorno de sobra",$B446="Saída de sobra"),$G446=""),"⚠ Escolha a medida da sobra",IF(AND(OR($B446="Entrada",$B446="Saída"),$H446=""),"⚠ Informe a quantidade","OK"))))</f>
        <v/>
      </c>
    </row>
    <row r="447" customFormat="false" ht="15" hidden="false" customHeight="false" outlineLevel="0" collapsed="false">
      <c r="A447" s="22"/>
      <c r="B447" s="18"/>
      <c r="C447" s="18"/>
      <c r="D447" s="19" t="str">
        <f aca="false">IF($C447="","",IFERROR(INDEX(Estoque!$C$6:$C$45,MATCH($C447,Estoque!$A$6:$A$45,0)),"Código não encontrado"))</f>
        <v/>
      </c>
      <c r="E447" s="19" t="str">
        <f aca="false">IF($C447="","",IFERROR(INDEX(Estoque!$B$6:$B$45,MATCH($C447,Estoque!$A$6:$A$45,0)),"Código não encontrado"))</f>
        <v/>
      </c>
      <c r="F447" s="18"/>
      <c r="G447" s="18"/>
      <c r="H447" s="18"/>
      <c r="I447" s="20" t="str">
        <f aca="false">IF(OR($B447="",$C447=""),"",IF(OR($B447="Retorno de sobra",$B447="Saída de sobra"),IFERROR(VLOOKUP($G447,Listas!$A$2:$B$5,2,FALSE()),0)*IF($H447="",1,$H447),$H447))</f>
        <v/>
      </c>
      <c r="J447" s="21" t="str">
        <f aca="false">IF($C447="","",IF(ISNA(MATCH($C447,Estoque!$A$6:$A$45,0)),"⚠ Código não encontrado",IF(AND(OR($B447="Retorno de sobra",$B447="Saída de sobra"),$G447=""),"⚠ Escolha a medida da sobra",IF(AND(OR($B447="Entrada",$B447="Saída"),$H447=""),"⚠ Informe a quantidade","OK"))))</f>
        <v/>
      </c>
    </row>
    <row r="448" customFormat="false" ht="15" hidden="false" customHeight="false" outlineLevel="0" collapsed="false">
      <c r="A448" s="22"/>
      <c r="B448" s="18"/>
      <c r="C448" s="18"/>
      <c r="D448" s="19" t="str">
        <f aca="false">IF($C448="","",IFERROR(INDEX(Estoque!$C$6:$C$45,MATCH($C448,Estoque!$A$6:$A$45,0)),"Código não encontrado"))</f>
        <v/>
      </c>
      <c r="E448" s="19" t="str">
        <f aca="false">IF($C448="","",IFERROR(INDEX(Estoque!$B$6:$B$45,MATCH($C448,Estoque!$A$6:$A$45,0)),"Código não encontrado"))</f>
        <v/>
      </c>
      <c r="F448" s="18"/>
      <c r="G448" s="18"/>
      <c r="H448" s="18"/>
      <c r="I448" s="20" t="str">
        <f aca="false">IF(OR($B448="",$C448=""),"",IF(OR($B448="Retorno de sobra",$B448="Saída de sobra"),IFERROR(VLOOKUP($G448,Listas!$A$2:$B$5,2,FALSE()),0)*IF($H448="",1,$H448),$H448))</f>
        <v/>
      </c>
      <c r="J448" s="21" t="str">
        <f aca="false">IF($C448="","",IF(ISNA(MATCH($C448,Estoque!$A$6:$A$45,0)),"⚠ Código não encontrado",IF(AND(OR($B448="Retorno de sobra",$B448="Saída de sobra"),$G448=""),"⚠ Escolha a medida da sobra",IF(AND(OR($B448="Entrada",$B448="Saída"),$H448=""),"⚠ Informe a quantidade","OK"))))</f>
        <v/>
      </c>
    </row>
    <row r="449" customFormat="false" ht="15" hidden="false" customHeight="false" outlineLevel="0" collapsed="false">
      <c r="A449" s="22"/>
      <c r="B449" s="18"/>
      <c r="C449" s="18"/>
      <c r="D449" s="19" t="str">
        <f aca="false">IF($C449="","",IFERROR(INDEX(Estoque!$C$6:$C$45,MATCH($C449,Estoque!$A$6:$A$45,0)),"Código não encontrado"))</f>
        <v/>
      </c>
      <c r="E449" s="19" t="str">
        <f aca="false">IF($C449="","",IFERROR(INDEX(Estoque!$B$6:$B$45,MATCH($C449,Estoque!$A$6:$A$45,0)),"Código não encontrado"))</f>
        <v/>
      </c>
      <c r="F449" s="18"/>
      <c r="G449" s="18"/>
      <c r="H449" s="18"/>
      <c r="I449" s="20" t="str">
        <f aca="false">IF(OR($B449="",$C449=""),"",IF(OR($B449="Retorno de sobra",$B449="Saída de sobra"),IFERROR(VLOOKUP($G449,Listas!$A$2:$B$5,2,FALSE()),0)*IF($H449="",1,$H449),$H449))</f>
        <v/>
      </c>
      <c r="J449" s="21" t="str">
        <f aca="false">IF($C449="","",IF(ISNA(MATCH($C449,Estoque!$A$6:$A$45,0)),"⚠ Código não encontrado",IF(AND(OR($B449="Retorno de sobra",$B449="Saída de sobra"),$G449=""),"⚠ Escolha a medida da sobra",IF(AND(OR($B449="Entrada",$B449="Saída"),$H449=""),"⚠ Informe a quantidade","OK"))))</f>
        <v/>
      </c>
    </row>
    <row r="450" customFormat="false" ht="15" hidden="false" customHeight="false" outlineLevel="0" collapsed="false">
      <c r="A450" s="22"/>
      <c r="B450" s="18"/>
      <c r="C450" s="18"/>
      <c r="D450" s="19" t="str">
        <f aca="false">IF($C450="","",IFERROR(INDEX(Estoque!$C$6:$C$45,MATCH($C450,Estoque!$A$6:$A$45,0)),"Código não encontrado"))</f>
        <v/>
      </c>
      <c r="E450" s="19" t="str">
        <f aca="false">IF($C450="","",IFERROR(INDEX(Estoque!$B$6:$B$45,MATCH($C450,Estoque!$A$6:$A$45,0)),"Código não encontrado"))</f>
        <v/>
      </c>
      <c r="F450" s="18"/>
      <c r="G450" s="18"/>
      <c r="H450" s="18"/>
      <c r="I450" s="20" t="str">
        <f aca="false">IF(OR($B450="",$C450=""),"",IF(OR($B450="Retorno de sobra",$B450="Saída de sobra"),IFERROR(VLOOKUP($G450,Listas!$A$2:$B$5,2,FALSE()),0)*IF($H450="",1,$H450),$H450))</f>
        <v/>
      </c>
      <c r="J450" s="21" t="str">
        <f aca="false">IF($C450="","",IF(ISNA(MATCH($C450,Estoque!$A$6:$A$45,0)),"⚠ Código não encontrado",IF(AND(OR($B450="Retorno de sobra",$B450="Saída de sobra"),$G450=""),"⚠ Escolha a medida da sobra",IF(AND(OR($B450="Entrada",$B450="Saída"),$H450=""),"⚠ Informe a quantidade","OK"))))</f>
        <v/>
      </c>
    </row>
    <row r="451" customFormat="false" ht="15" hidden="false" customHeight="false" outlineLevel="0" collapsed="false">
      <c r="A451" s="22"/>
      <c r="B451" s="18"/>
      <c r="C451" s="18"/>
      <c r="D451" s="19" t="str">
        <f aca="false">IF($C451="","",IFERROR(INDEX(Estoque!$C$6:$C$45,MATCH($C451,Estoque!$A$6:$A$45,0)),"Código não encontrado"))</f>
        <v/>
      </c>
      <c r="E451" s="19" t="str">
        <f aca="false">IF($C451="","",IFERROR(INDEX(Estoque!$B$6:$B$45,MATCH($C451,Estoque!$A$6:$A$45,0)),"Código não encontrado"))</f>
        <v/>
      </c>
      <c r="F451" s="18"/>
      <c r="G451" s="18"/>
      <c r="H451" s="18"/>
      <c r="I451" s="20" t="str">
        <f aca="false">IF(OR($B451="",$C451=""),"",IF(OR($B451="Retorno de sobra",$B451="Saída de sobra"),IFERROR(VLOOKUP($G451,Listas!$A$2:$B$5,2,FALSE()),0)*IF($H451="",1,$H451),$H451))</f>
        <v/>
      </c>
      <c r="J451" s="21" t="str">
        <f aca="false">IF($C451="","",IF(ISNA(MATCH($C451,Estoque!$A$6:$A$45,0)),"⚠ Código não encontrado",IF(AND(OR($B451="Retorno de sobra",$B451="Saída de sobra"),$G451=""),"⚠ Escolha a medida da sobra",IF(AND(OR($B451="Entrada",$B451="Saída"),$H451=""),"⚠ Informe a quantidade","OK"))))</f>
        <v/>
      </c>
    </row>
    <row r="452" customFormat="false" ht="15" hidden="false" customHeight="false" outlineLevel="0" collapsed="false">
      <c r="A452" s="22"/>
      <c r="B452" s="18"/>
      <c r="C452" s="18"/>
      <c r="D452" s="19" t="str">
        <f aca="false">IF($C452="","",IFERROR(INDEX(Estoque!$C$6:$C$45,MATCH($C452,Estoque!$A$6:$A$45,0)),"Código não encontrado"))</f>
        <v/>
      </c>
      <c r="E452" s="19" t="str">
        <f aca="false">IF($C452="","",IFERROR(INDEX(Estoque!$B$6:$B$45,MATCH($C452,Estoque!$A$6:$A$45,0)),"Código não encontrado"))</f>
        <v/>
      </c>
      <c r="F452" s="18"/>
      <c r="G452" s="18"/>
      <c r="H452" s="18"/>
      <c r="I452" s="20" t="str">
        <f aca="false">IF(OR($B452="",$C452=""),"",IF(OR($B452="Retorno de sobra",$B452="Saída de sobra"),IFERROR(VLOOKUP($G452,Listas!$A$2:$B$5,2,FALSE()),0)*IF($H452="",1,$H452),$H452))</f>
        <v/>
      </c>
      <c r="J452" s="21" t="str">
        <f aca="false">IF($C452="","",IF(ISNA(MATCH($C452,Estoque!$A$6:$A$45,0)),"⚠ Código não encontrado",IF(AND(OR($B452="Retorno de sobra",$B452="Saída de sobra"),$G452=""),"⚠ Escolha a medida da sobra",IF(AND(OR($B452="Entrada",$B452="Saída"),$H452=""),"⚠ Informe a quantidade","OK"))))</f>
        <v/>
      </c>
    </row>
    <row r="453" customFormat="false" ht="15" hidden="false" customHeight="false" outlineLevel="0" collapsed="false">
      <c r="A453" s="22"/>
      <c r="B453" s="18"/>
      <c r="C453" s="18"/>
      <c r="D453" s="19" t="str">
        <f aca="false">IF($C453="","",IFERROR(INDEX(Estoque!$C$6:$C$45,MATCH($C453,Estoque!$A$6:$A$45,0)),"Código não encontrado"))</f>
        <v/>
      </c>
      <c r="E453" s="19" t="str">
        <f aca="false">IF($C453="","",IFERROR(INDEX(Estoque!$B$6:$B$45,MATCH($C453,Estoque!$A$6:$A$45,0)),"Código não encontrado"))</f>
        <v/>
      </c>
      <c r="F453" s="18"/>
      <c r="G453" s="18"/>
      <c r="H453" s="18"/>
      <c r="I453" s="20" t="str">
        <f aca="false">IF(OR($B453="",$C453=""),"",IF(OR($B453="Retorno de sobra",$B453="Saída de sobra"),IFERROR(VLOOKUP($G453,Listas!$A$2:$B$5,2,FALSE()),0)*IF($H453="",1,$H453),$H453))</f>
        <v/>
      </c>
      <c r="J453" s="21" t="str">
        <f aca="false">IF($C453="","",IF(ISNA(MATCH($C453,Estoque!$A$6:$A$45,0)),"⚠ Código não encontrado",IF(AND(OR($B453="Retorno de sobra",$B453="Saída de sobra"),$G453=""),"⚠ Escolha a medida da sobra",IF(AND(OR($B453="Entrada",$B453="Saída"),$H453=""),"⚠ Informe a quantidade","OK"))))</f>
        <v/>
      </c>
    </row>
    <row r="454" customFormat="false" ht="15" hidden="false" customHeight="false" outlineLevel="0" collapsed="false">
      <c r="A454" s="22"/>
      <c r="B454" s="18"/>
      <c r="C454" s="18"/>
      <c r="D454" s="19" t="str">
        <f aca="false">IF($C454="","",IFERROR(INDEX(Estoque!$C$6:$C$45,MATCH($C454,Estoque!$A$6:$A$45,0)),"Código não encontrado"))</f>
        <v/>
      </c>
      <c r="E454" s="19" t="str">
        <f aca="false">IF($C454="","",IFERROR(INDEX(Estoque!$B$6:$B$45,MATCH($C454,Estoque!$A$6:$A$45,0)),"Código não encontrado"))</f>
        <v/>
      </c>
      <c r="F454" s="18"/>
      <c r="G454" s="18"/>
      <c r="H454" s="18"/>
      <c r="I454" s="20" t="str">
        <f aca="false">IF(OR($B454="",$C454=""),"",IF(OR($B454="Retorno de sobra",$B454="Saída de sobra"),IFERROR(VLOOKUP($G454,Listas!$A$2:$B$5,2,FALSE()),0)*IF($H454="",1,$H454),$H454))</f>
        <v/>
      </c>
      <c r="J454" s="21" t="str">
        <f aca="false">IF($C454="","",IF(ISNA(MATCH($C454,Estoque!$A$6:$A$45,0)),"⚠ Código não encontrado",IF(AND(OR($B454="Retorno de sobra",$B454="Saída de sobra"),$G454=""),"⚠ Escolha a medida da sobra",IF(AND(OR($B454="Entrada",$B454="Saída"),$H454=""),"⚠ Informe a quantidade","OK"))))</f>
        <v/>
      </c>
    </row>
    <row r="455" customFormat="false" ht="15" hidden="false" customHeight="false" outlineLevel="0" collapsed="false">
      <c r="A455" s="22"/>
      <c r="B455" s="18"/>
      <c r="C455" s="18"/>
      <c r="D455" s="19" t="str">
        <f aca="false">IF($C455="","",IFERROR(INDEX(Estoque!$C$6:$C$45,MATCH($C455,Estoque!$A$6:$A$45,0)),"Código não encontrado"))</f>
        <v/>
      </c>
      <c r="E455" s="19" t="str">
        <f aca="false">IF($C455="","",IFERROR(INDEX(Estoque!$B$6:$B$45,MATCH($C455,Estoque!$A$6:$A$45,0)),"Código não encontrado"))</f>
        <v/>
      </c>
      <c r="F455" s="18"/>
      <c r="G455" s="18"/>
      <c r="H455" s="18"/>
      <c r="I455" s="20" t="str">
        <f aca="false">IF(OR($B455="",$C455=""),"",IF(OR($B455="Retorno de sobra",$B455="Saída de sobra"),IFERROR(VLOOKUP($G455,Listas!$A$2:$B$5,2,FALSE()),0)*IF($H455="",1,$H455),$H455))</f>
        <v/>
      </c>
      <c r="J455" s="21" t="str">
        <f aca="false">IF($C455="","",IF(ISNA(MATCH($C455,Estoque!$A$6:$A$45,0)),"⚠ Código não encontrado",IF(AND(OR($B455="Retorno de sobra",$B455="Saída de sobra"),$G455=""),"⚠ Escolha a medida da sobra",IF(AND(OR($B455="Entrada",$B455="Saída"),$H455=""),"⚠ Informe a quantidade","OK"))))</f>
        <v/>
      </c>
    </row>
    <row r="456" customFormat="false" ht="15" hidden="false" customHeight="false" outlineLevel="0" collapsed="false">
      <c r="A456" s="22"/>
      <c r="B456" s="18"/>
      <c r="C456" s="18"/>
      <c r="D456" s="19" t="str">
        <f aca="false">IF($C456="","",IFERROR(INDEX(Estoque!$C$6:$C$45,MATCH($C456,Estoque!$A$6:$A$45,0)),"Código não encontrado"))</f>
        <v/>
      </c>
      <c r="E456" s="19" t="str">
        <f aca="false">IF($C456="","",IFERROR(INDEX(Estoque!$B$6:$B$45,MATCH($C456,Estoque!$A$6:$A$45,0)),"Código não encontrado"))</f>
        <v/>
      </c>
      <c r="F456" s="18"/>
      <c r="G456" s="18"/>
      <c r="H456" s="18"/>
      <c r="I456" s="20" t="str">
        <f aca="false">IF(OR($B456="",$C456=""),"",IF(OR($B456="Retorno de sobra",$B456="Saída de sobra"),IFERROR(VLOOKUP($G456,Listas!$A$2:$B$5,2,FALSE()),0)*IF($H456="",1,$H456),$H456))</f>
        <v/>
      </c>
      <c r="J456" s="21" t="str">
        <f aca="false">IF($C456="","",IF(ISNA(MATCH($C456,Estoque!$A$6:$A$45,0)),"⚠ Código não encontrado",IF(AND(OR($B456="Retorno de sobra",$B456="Saída de sobra"),$G456=""),"⚠ Escolha a medida da sobra",IF(AND(OR($B456="Entrada",$B456="Saída"),$H456=""),"⚠ Informe a quantidade","OK"))))</f>
        <v/>
      </c>
    </row>
    <row r="457" customFormat="false" ht="15" hidden="false" customHeight="false" outlineLevel="0" collapsed="false">
      <c r="A457" s="22"/>
      <c r="B457" s="18"/>
      <c r="C457" s="18"/>
      <c r="D457" s="19" t="str">
        <f aca="false">IF($C457="","",IFERROR(INDEX(Estoque!$C$6:$C$45,MATCH($C457,Estoque!$A$6:$A$45,0)),"Código não encontrado"))</f>
        <v/>
      </c>
      <c r="E457" s="19" t="str">
        <f aca="false">IF($C457="","",IFERROR(INDEX(Estoque!$B$6:$B$45,MATCH($C457,Estoque!$A$6:$A$45,0)),"Código não encontrado"))</f>
        <v/>
      </c>
      <c r="F457" s="18"/>
      <c r="G457" s="18"/>
      <c r="H457" s="18"/>
      <c r="I457" s="20" t="str">
        <f aca="false">IF(OR($B457="",$C457=""),"",IF(OR($B457="Retorno de sobra",$B457="Saída de sobra"),IFERROR(VLOOKUP($G457,Listas!$A$2:$B$5,2,FALSE()),0)*IF($H457="",1,$H457),$H457))</f>
        <v/>
      </c>
      <c r="J457" s="21" t="str">
        <f aca="false">IF($C457="","",IF(ISNA(MATCH($C457,Estoque!$A$6:$A$45,0)),"⚠ Código não encontrado",IF(AND(OR($B457="Retorno de sobra",$B457="Saída de sobra"),$G457=""),"⚠ Escolha a medida da sobra",IF(AND(OR($B457="Entrada",$B457="Saída"),$H457=""),"⚠ Informe a quantidade","OK"))))</f>
        <v/>
      </c>
    </row>
    <row r="458" customFormat="false" ht="15" hidden="false" customHeight="false" outlineLevel="0" collapsed="false">
      <c r="A458" s="22"/>
      <c r="B458" s="18"/>
      <c r="C458" s="18"/>
      <c r="D458" s="19" t="str">
        <f aca="false">IF($C458="","",IFERROR(INDEX(Estoque!$C$6:$C$45,MATCH($C458,Estoque!$A$6:$A$45,0)),"Código não encontrado"))</f>
        <v/>
      </c>
      <c r="E458" s="19" t="str">
        <f aca="false">IF($C458="","",IFERROR(INDEX(Estoque!$B$6:$B$45,MATCH($C458,Estoque!$A$6:$A$45,0)),"Código não encontrado"))</f>
        <v/>
      </c>
      <c r="F458" s="18"/>
      <c r="G458" s="18"/>
      <c r="H458" s="18"/>
      <c r="I458" s="20" t="str">
        <f aca="false">IF(OR($B458="",$C458=""),"",IF(OR($B458="Retorno de sobra",$B458="Saída de sobra"),IFERROR(VLOOKUP($G458,Listas!$A$2:$B$5,2,FALSE()),0)*IF($H458="",1,$H458),$H458))</f>
        <v/>
      </c>
      <c r="J458" s="21" t="str">
        <f aca="false">IF($C458="","",IF(ISNA(MATCH($C458,Estoque!$A$6:$A$45,0)),"⚠ Código não encontrado",IF(AND(OR($B458="Retorno de sobra",$B458="Saída de sobra"),$G458=""),"⚠ Escolha a medida da sobra",IF(AND(OR($B458="Entrada",$B458="Saída"),$H458=""),"⚠ Informe a quantidade","OK"))))</f>
        <v/>
      </c>
    </row>
    <row r="459" customFormat="false" ht="15" hidden="false" customHeight="false" outlineLevel="0" collapsed="false">
      <c r="A459" s="22"/>
      <c r="B459" s="18"/>
      <c r="C459" s="18"/>
      <c r="D459" s="19" t="str">
        <f aca="false">IF($C459="","",IFERROR(INDEX(Estoque!$C$6:$C$45,MATCH($C459,Estoque!$A$6:$A$45,0)),"Código não encontrado"))</f>
        <v/>
      </c>
      <c r="E459" s="19" t="str">
        <f aca="false">IF($C459="","",IFERROR(INDEX(Estoque!$B$6:$B$45,MATCH($C459,Estoque!$A$6:$A$45,0)),"Código não encontrado"))</f>
        <v/>
      </c>
      <c r="F459" s="18"/>
      <c r="G459" s="18"/>
      <c r="H459" s="18"/>
      <c r="I459" s="20" t="str">
        <f aca="false">IF(OR($B459="",$C459=""),"",IF(OR($B459="Retorno de sobra",$B459="Saída de sobra"),IFERROR(VLOOKUP($G459,Listas!$A$2:$B$5,2,FALSE()),0)*IF($H459="",1,$H459),$H459))</f>
        <v/>
      </c>
      <c r="J459" s="21" t="str">
        <f aca="false">IF($C459="","",IF(ISNA(MATCH($C459,Estoque!$A$6:$A$45,0)),"⚠ Código não encontrado",IF(AND(OR($B459="Retorno de sobra",$B459="Saída de sobra"),$G459=""),"⚠ Escolha a medida da sobra",IF(AND(OR($B459="Entrada",$B459="Saída"),$H459=""),"⚠ Informe a quantidade","OK"))))</f>
        <v/>
      </c>
    </row>
    <row r="460" customFormat="false" ht="15" hidden="false" customHeight="false" outlineLevel="0" collapsed="false">
      <c r="A460" s="22"/>
      <c r="B460" s="18"/>
      <c r="C460" s="18"/>
      <c r="D460" s="19" t="str">
        <f aca="false">IF($C460="","",IFERROR(INDEX(Estoque!$C$6:$C$45,MATCH($C460,Estoque!$A$6:$A$45,0)),"Código não encontrado"))</f>
        <v/>
      </c>
      <c r="E460" s="19" t="str">
        <f aca="false">IF($C460="","",IFERROR(INDEX(Estoque!$B$6:$B$45,MATCH($C460,Estoque!$A$6:$A$45,0)),"Código não encontrado"))</f>
        <v/>
      </c>
      <c r="F460" s="18"/>
      <c r="G460" s="18"/>
      <c r="H460" s="18"/>
      <c r="I460" s="20" t="str">
        <f aca="false">IF(OR($B460="",$C460=""),"",IF(OR($B460="Retorno de sobra",$B460="Saída de sobra"),IFERROR(VLOOKUP($G460,Listas!$A$2:$B$5,2,FALSE()),0)*IF($H460="",1,$H460),$H460))</f>
        <v/>
      </c>
      <c r="J460" s="21" t="str">
        <f aca="false">IF($C460="","",IF(ISNA(MATCH($C460,Estoque!$A$6:$A$45,0)),"⚠ Código não encontrado",IF(AND(OR($B460="Retorno de sobra",$B460="Saída de sobra"),$G460=""),"⚠ Escolha a medida da sobra",IF(AND(OR($B460="Entrada",$B460="Saída"),$H460=""),"⚠ Informe a quantidade","OK"))))</f>
        <v/>
      </c>
    </row>
    <row r="461" customFormat="false" ht="15" hidden="false" customHeight="false" outlineLevel="0" collapsed="false">
      <c r="A461" s="22"/>
      <c r="B461" s="18"/>
      <c r="C461" s="18"/>
      <c r="D461" s="19" t="str">
        <f aca="false">IF($C461="","",IFERROR(INDEX(Estoque!$C$6:$C$45,MATCH($C461,Estoque!$A$6:$A$45,0)),"Código não encontrado"))</f>
        <v/>
      </c>
      <c r="E461" s="19" t="str">
        <f aca="false">IF($C461="","",IFERROR(INDEX(Estoque!$B$6:$B$45,MATCH($C461,Estoque!$A$6:$A$45,0)),"Código não encontrado"))</f>
        <v/>
      </c>
      <c r="F461" s="18"/>
      <c r="G461" s="18"/>
      <c r="H461" s="18"/>
      <c r="I461" s="20" t="str">
        <f aca="false">IF(OR($B461="",$C461=""),"",IF(OR($B461="Retorno de sobra",$B461="Saída de sobra"),IFERROR(VLOOKUP($G461,Listas!$A$2:$B$5,2,FALSE()),0)*IF($H461="",1,$H461),$H461))</f>
        <v/>
      </c>
      <c r="J461" s="21" t="str">
        <f aca="false">IF($C461="","",IF(ISNA(MATCH($C461,Estoque!$A$6:$A$45,0)),"⚠ Código não encontrado",IF(AND(OR($B461="Retorno de sobra",$B461="Saída de sobra"),$G461=""),"⚠ Escolha a medida da sobra",IF(AND(OR($B461="Entrada",$B461="Saída"),$H461=""),"⚠ Informe a quantidade","OK"))))</f>
        <v/>
      </c>
    </row>
    <row r="462" customFormat="false" ht="15" hidden="false" customHeight="false" outlineLevel="0" collapsed="false">
      <c r="A462" s="22"/>
      <c r="B462" s="18"/>
      <c r="C462" s="18"/>
      <c r="D462" s="19" t="str">
        <f aca="false">IF($C462="","",IFERROR(INDEX(Estoque!$C$6:$C$45,MATCH($C462,Estoque!$A$6:$A$45,0)),"Código não encontrado"))</f>
        <v/>
      </c>
      <c r="E462" s="19" t="str">
        <f aca="false">IF($C462="","",IFERROR(INDEX(Estoque!$B$6:$B$45,MATCH($C462,Estoque!$A$6:$A$45,0)),"Código não encontrado"))</f>
        <v/>
      </c>
      <c r="F462" s="18"/>
      <c r="G462" s="18"/>
      <c r="H462" s="18"/>
      <c r="I462" s="20" t="str">
        <f aca="false">IF(OR($B462="",$C462=""),"",IF(OR($B462="Retorno de sobra",$B462="Saída de sobra"),IFERROR(VLOOKUP($G462,Listas!$A$2:$B$5,2,FALSE()),0)*IF($H462="",1,$H462),$H462))</f>
        <v/>
      </c>
      <c r="J462" s="21" t="str">
        <f aca="false">IF($C462="","",IF(ISNA(MATCH($C462,Estoque!$A$6:$A$45,0)),"⚠ Código não encontrado",IF(AND(OR($B462="Retorno de sobra",$B462="Saída de sobra"),$G462=""),"⚠ Escolha a medida da sobra",IF(AND(OR($B462="Entrada",$B462="Saída"),$H462=""),"⚠ Informe a quantidade","OK"))))</f>
        <v/>
      </c>
    </row>
    <row r="463" customFormat="false" ht="15" hidden="false" customHeight="false" outlineLevel="0" collapsed="false">
      <c r="A463" s="22"/>
      <c r="B463" s="18"/>
      <c r="C463" s="18"/>
      <c r="D463" s="19" t="str">
        <f aca="false">IF($C463="","",IFERROR(INDEX(Estoque!$C$6:$C$45,MATCH($C463,Estoque!$A$6:$A$45,0)),"Código não encontrado"))</f>
        <v/>
      </c>
      <c r="E463" s="19" t="str">
        <f aca="false">IF($C463="","",IFERROR(INDEX(Estoque!$B$6:$B$45,MATCH($C463,Estoque!$A$6:$A$45,0)),"Código não encontrado"))</f>
        <v/>
      </c>
      <c r="F463" s="18"/>
      <c r="G463" s="18"/>
      <c r="H463" s="18"/>
      <c r="I463" s="20" t="str">
        <f aca="false">IF(OR($B463="",$C463=""),"",IF(OR($B463="Retorno de sobra",$B463="Saída de sobra"),IFERROR(VLOOKUP($G463,Listas!$A$2:$B$5,2,FALSE()),0)*IF($H463="",1,$H463),$H463))</f>
        <v/>
      </c>
      <c r="J463" s="21" t="str">
        <f aca="false">IF($C463="","",IF(ISNA(MATCH($C463,Estoque!$A$6:$A$45,0)),"⚠ Código não encontrado",IF(AND(OR($B463="Retorno de sobra",$B463="Saída de sobra"),$G463=""),"⚠ Escolha a medida da sobra",IF(AND(OR($B463="Entrada",$B463="Saída"),$H463=""),"⚠ Informe a quantidade","OK"))))</f>
        <v/>
      </c>
    </row>
    <row r="464" customFormat="false" ht="15" hidden="false" customHeight="false" outlineLevel="0" collapsed="false">
      <c r="A464" s="22"/>
      <c r="B464" s="18"/>
      <c r="C464" s="18"/>
      <c r="D464" s="19" t="str">
        <f aca="false">IF($C464="","",IFERROR(INDEX(Estoque!$C$6:$C$45,MATCH($C464,Estoque!$A$6:$A$45,0)),"Código não encontrado"))</f>
        <v/>
      </c>
      <c r="E464" s="19" t="str">
        <f aca="false">IF($C464="","",IFERROR(INDEX(Estoque!$B$6:$B$45,MATCH($C464,Estoque!$A$6:$A$45,0)),"Código não encontrado"))</f>
        <v/>
      </c>
      <c r="F464" s="18"/>
      <c r="G464" s="18"/>
      <c r="H464" s="18"/>
      <c r="I464" s="20" t="str">
        <f aca="false">IF(OR($B464="",$C464=""),"",IF(OR($B464="Retorno de sobra",$B464="Saída de sobra"),IFERROR(VLOOKUP($G464,Listas!$A$2:$B$5,2,FALSE()),0)*IF($H464="",1,$H464),$H464))</f>
        <v/>
      </c>
      <c r="J464" s="21" t="str">
        <f aca="false">IF($C464="","",IF(ISNA(MATCH($C464,Estoque!$A$6:$A$45,0)),"⚠ Código não encontrado",IF(AND(OR($B464="Retorno de sobra",$B464="Saída de sobra"),$G464=""),"⚠ Escolha a medida da sobra",IF(AND(OR($B464="Entrada",$B464="Saída"),$H464=""),"⚠ Informe a quantidade","OK"))))</f>
        <v/>
      </c>
    </row>
    <row r="465" customFormat="false" ht="15" hidden="false" customHeight="false" outlineLevel="0" collapsed="false">
      <c r="A465" s="22"/>
      <c r="B465" s="18"/>
      <c r="C465" s="18"/>
      <c r="D465" s="19" t="str">
        <f aca="false">IF($C465="","",IFERROR(INDEX(Estoque!$C$6:$C$45,MATCH($C465,Estoque!$A$6:$A$45,0)),"Código não encontrado"))</f>
        <v/>
      </c>
      <c r="E465" s="19" t="str">
        <f aca="false">IF($C465="","",IFERROR(INDEX(Estoque!$B$6:$B$45,MATCH($C465,Estoque!$A$6:$A$45,0)),"Código não encontrado"))</f>
        <v/>
      </c>
      <c r="F465" s="18"/>
      <c r="G465" s="18"/>
      <c r="H465" s="18"/>
      <c r="I465" s="20" t="str">
        <f aca="false">IF(OR($B465="",$C465=""),"",IF(OR($B465="Retorno de sobra",$B465="Saída de sobra"),IFERROR(VLOOKUP($G465,Listas!$A$2:$B$5,2,FALSE()),0)*IF($H465="",1,$H465),$H465))</f>
        <v/>
      </c>
      <c r="J465" s="21" t="str">
        <f aca="false">IF($C465="","",IF(ISNA(MATCH($C465,Estoque!$A$6:$A$45,0)),"⚠ Código não encontrado",IF(AND(OR($B465="Retorno de sobra",$B465="Saída de sobra"),$G465=""),"⚠ Escolha a medida da sobra",IF(AND(OR($B465="Entrada",$B465="Saída"),$H465=""),"⚠ Informe a quantidade","OK"))))</f>
        <v/>
      </c>
    </row>
    <row r="466" customFormat="false" ht="15" hidden="false" customHeight="false" outlineLevel="0" collapsed="false">
      <c r="A466" s="22"/>
      <c r="B466" s="18"/>
      <c r="C466" s="18"/>
      <c r="D466" s="19" t="str">
        <f aca="false">IF($C466="","",IFERROR(INDEX(Estoque!$C$6:$C$45,MATCH($C466,Estoque!$A$6:$A$45,0)),"Código não encontrado"))</f>
        <v/>
      </c>
      <c r="E466" s="19" t="str">
        <f aca="false">IF($C466="","",IFERROR(INDEX(Estoque!$B$6:$B$45,MATCH($C466,Estoque!$A$6:$A$45,0)),"Código não encontrado"))</f>
        <v/>
      </c>
      <c r="F466" s="18"/>
      <c r="G466" s="18"/>
      <c r="H466" s="18"/>
      <c r="I466" s="20" t="str">
        <f aca="false">IF(OR($B466="",$C466=""),"",IF(OR($B466="Retorno de sobra",$B466="Saída de sobra"),IFERROR(VLOOKUP($G466,Listas!$A$2:$B$5,2,FALSE()),0)*IF($H466="",1,$H466),$H466))</f>
        <v/>
      </c>
      <c r="J466" s="21" t="str">
        <f aca="false">IF($C466="","",IF(ISNA(MATCH($C466,Estoque!$A$6:$A$45,0)),"⚠ Código não encontrado",IF(AND(OR($B466="Retorno de sobra",$B466="Saída de sobra"),$G466=""),"⚠ Escolha a medida da sobra",IF(AND(OR($B466="Entrada",$B466="Saída"),$H466=""),"⚠ Informe a quantidade","OK"))))</f>
        <v/>
      </c>
    </row>
    <row r="467" customFormat="false" ht="15" hidden="false" customHeight="false" outlineLevel="0" collapsed="false">
      <c r="A467" s="22"/>
      <c r="B467" s="18"/>
      <c r="C467" s="18"/>
      <c r="D467" s="19" t="str">
        <f aca="false">IF($C467="","",IFERROR(INDEX(Estoque!$C$6:$C$45,MATCH($C467,Estoque!$A$6:$A$45,0)),"Código não encontrado"))</f>
        <v/>
      </c>
      <c r="E467" s="19" t="str">
        <f aca="false">IF($C467="","",IFERROR(INDEX(Estoque!$B$6:$B$45,MATCH($C467,Estoque!$A$6:$A$45,0)),"Código não encontrado"))</f>
        <v/>
      </c>
      <c r="F467" s="18"/>
      <c r="G467" s="18"/>
      <c r="H467" s="18"/>
      <c r="I467" s="20" t="str">
        <f aca="false">IF(OR($B467="",$C467=""),"",IF(OR($B467="Retorno de sobra",$B467="Saída de sobra"),IFERROR(VLOOKUP($G467,Listas!$A$2:$B$5,2,FALSE()),0)*IF($H467="",1,$H467),$H467))</f>
        <v/>
      </c>
      <c r="J467" s="21" t="str">
        <f aca="false">IF($C467="","",IF(ISNA(MATCH($C467,Estoque!$A$6:$A$45,0)),"⚠ Código não encontrado",IF(AND(OR($B467="Retorno de sobra",$B467="Saída de sobra"),$G467=""),"⚠ Escolha a medida da sobra",IF(AND(OR($B467="Entrada",$B467="Saída"),$H467=""),"⚠ Informe a quantidade","OK"))))</f>
        <v/>
      </c>
    </row>
    <row r="468" customFormat="false" ht="15" hidden="false" customHeight="false" outlineLevel="0" collapsed="false">
      <c r="A468" s="22"/>
      <c r="B468" s="18"/>
      <c r="C468" s="18"/>
      <c r="D468" s="19" t="str">
        <f aca="false">IF($C468="","",IFERROR(INDEX(Estoque!$C$6:$C$45,MATCH($C468,Estoque!$A$6:$A$45,0)),"Código não encontrado"))</f>
        <v/>
      </c>
      <c r="E468" s="19" t="str">
        <f aca="false">IF($C468="","",IFERROR(INDEX(Estoque!$B$6:$B$45,MATCH($C468,Estoque!$A$6:$A$45,0)),"Código não encontrado"))</f>
        <v/>
      </c>
      <c r="F468" s="18"/>
      <c r="G468" s="18"/>
      <c r="H468" s="18"/>
      <c r="I468" s="20" t="str">
        <f aca="false">IF(OR($B468="",$C468=""),"",IF(OR($B468="Retorno de sobra",$B468="Saída de sobra"),IFERROR(VLOOKUP($G468,Listas!$A$2:$B$5,2,FALSE()),0)*IF($H468="",1,$H468),$H468))</f>
        <v/>
      </c>
      <c r="J468" s="21" t="str">
        <f aca="false">IF($C468="","",IF(ISNA(MATCH($C468,Estoque!$A$6:$A$45,0)),"⚠ Código não encontrado",IF(AND(OR($B468="Retorno de sobra",$B468="Saída de sobra"),$G468=""),"⚠ Escolha a medida da sobra",IF(AND(OR($B468="Entrada",$B468="Saída"),$H468=""),"⚠ Informe a quantidade","OK"))))</f>
        <v/>
      </c>
    </row>
    <row r="469" customFormat="false" ht="15" hidden="false" customHeight="false" outlineLevel="0" collapsed="false">
      <c r="A469" s="22"/>
      <c r="B469" s="18"/>
      <c r="C469" s="18"/>
      <c r="D469" s="19" t="str">
        <f aca="false">IF($C469="","",IFERROR(INDEX(Estoque!$C$6:$C$45,MATCH($C469,Estoque!$A$6:$A$45,0)),"Código não encontrado"))</f>
        <v/>
      </c>
      <c r="E469" s="19" t="str">
        <f aca="false">IF($C469="","",IFERROR(INDEX(Estoque!$B$6:$B$45,MATCH($C469,Estoque!$A$6:$A$45,0)),"Código não encontrado"))</f>
        <v/>
      </c>
      <c r="F469" s="18"/>
      <c r="G469" s="18"/>
      <c r="H469" s="18"/>
      <c r="I469" s="20" t="str">
        <f aca="false">IF(OR($B469="",$C469=""),"",IF(OR($B469="Retorno de sobra",$B469="Saída de sobra"),IFERROR(VLOOKUP($G469,Listas!$A$2:$B$5,2,FALSE()),0)*IF($H469="",1,$H469),$H469))</f>
        <v/>
      </c>
      <c r="J469" s="21" t="str">
        <f aca="false">IF($C469="","",IF(ISNA(MATCH($C469,Estoque!$A$6:$A$45,0)),"⚠ Código não encontrado",IF(AND(OR($B469="Retorno de sobra",$B469="Saída de sobra"),$G469=""),"⚠ Escolha a medida da sobra",IF(AND(OR($B469="Entrada",$B469="Saída"),$H469=""),"⚠ Informe a quantidade","OK"))))</f>
        <v/>
      </c>
    </row>
    <row r="470" customFormat="false" ht="15" hidden="false" customHeight="false" outlineLevel="0" collapsed="false">
      <c r="A470" s="22"/>
      <c r="B470" s="18"/>
      <c r="C470" s="18"/>
      <c r="D470" s="19" t="str">
        <f aca="false">IF($C470="","",IFERROR(INDEX(Estoque!$C$6:$C$45,MATCH($C470,Estoque!$A$6:$A$45,0)),"Código não encontrado"))</f>
        <v/>
      </c>
      <c r="E470" s="19" t="str">
        <f aca="false">IF($C470="","",IFERROR(INDEX(Estoque!$B$6:$B$45,MATCH($C470,Estoque!$A$6:$A$45,0)),"Código não encontrado"))</f>
        <v/>
      </c>
      <c r="F470" s="18"/>
      <c r="G470" s="18"/>
      <c r="H470" s="18"/>
      <c r="I470" s="20" t="str">
        <f aca="false">IF(OR($B470="",$C470=""),"",IF(OR($B470="Retorno de sobra",$B470="Saída de sobra"),IFERROR(VLOOKUP($G470,Listas!$A$2:$B$5,2,FALSE()),0)*IF($H470="",1,$H470),$H470))</f>
        <v/>
      </c>
      <c r="J470" s="21" t="str">
        <f aca="false">IF($C470="","",IF(ISNA(MATCH($C470,Estoque!$A$6:$A$45,0)),"⚠ Código não encontrado",IF(AND(OR($B470="Retorno de sobra",$B470="Saída de sobra"),$G470=""),"⚠ Escolha a medida da sobra",IF(AND(OR($B470="Entrada",$B470="Saída"),$H470=""),"⚠ Informe a quantidade","OK"))))</f>
        <v/>
      </c>
    </row>
    <row r="471" customFormat="false" ht="15" hidden="false" customHeight="false" outlineLevel="0" collapsed="false">
      <c r="A471" s="22"/>
      <c r="B471" s="18"/>
      <c r="C471" s="18"/>
      <c r="D471" s="19" t="str">
        <f aca="false">IF($C471="","",IFERROR(INDEX(Estoque!$C$6:$C$45,MATCH($C471,Estoque!$A$6:$A$45,0)),"Código não encontrado"))</f>
        <v/>
      </c>
      <c r="E471" s="19" t="str">
        <f aca="false">IF($C471="","",IFERROR(INDEX(Estoque!$B$6:$B$45,MATCH($C471,Estoque!$A$6:$A$45,0)),"Código não encontrado"))</f>
        <v/>
      </c>
      <c r="F471" s="18"/>
      <c r="G471" s="18"/>
      <c r="H471" s="18"/>
      <c r="I471" s="20" t="str">
        <f aca="false">IF(OR($B471="",$C471=""),"",IF(OR($B471="Retorno de sobra",$B471="Saída de sobra"),IFERROR(VLOOKUP($G471,Listas!$A$2:$B$5,2,FALSE()),0)*IF($H471="",1,$H471),$H471))</f>
        <v/>
      </c>
      <c r="J471" s="21" t="str">
        <f aca="false">IF($C471="","",IF(ISNA(MATCH($C471,Estoque!$A$6:$A$45,0)),"⚠ Código não encontrado",IF(AND(OR($B471="Retorno de sobra",$B471="Saída de sobra"),$G471=""),"⚠ Escolha a medida da sobra",IF(AND(OR($B471="Entrada",$B471="Saída"),$H471=""),"⚠ Informe a quantidade","OK"))))</f>
        <v/>
      </c>
    </row>
    <row r="472" customFormat="false" ht="15" hidden="false" customHeight="false" outlineLevel="0" collapsed="false">
      <c r="A472" s="22"/>
      <c r="B472" s="18"/>
      <c r="C472" s="18"/>
      <c r="D472" s="19" t="str">
        <f aca="false">IF($C472="","",IFERROR(INDEX(Estoque!$C$6:$C$45,MATCH($C472,Estoque!$A$6:$A$45,0)),"Código não encontrado"))</f>
        <v/>
      </c>
      <c r="E472" s="19" t="str">
        <f aca="false">IF($C472="","",IFERROR(INDEX(Estoque!$B$6:$B$45,MATCH($C472,Estoque!$A$6:$A$45,0)),"Código não encontrado"))</f>
        <v/>
      </c>
      <c r="F472" s="18"/>
      <c r="G472" s="18"/>
      <c r="H472" s="18"/>
      <c r="I472" s="20" t="str">
        <f aca="false">IF(OR($B472="",$C472=""),"",IF(OR($B472="Retorno de sobra",$B472="Saída de sobra"),IFERROR(VLOOKUP($G472,Listas!$A$2:$B$5,2,FALSE()),0)*IF($H472="",1,$H472),$H472))</f>
        <v/>
      </c>
      <c r="J472" s="21" t="str">
        <f aca="false">IF($C472="","",IF(ISNA(MATCH($C472,Estoque!$A$6:$A$45,0)),"⚠ Código não encontrado",IF(AND(OR($B472="Retorno de sobra",$B472="Saída de sobra"),$G472=""),"⚠ Escolha a medida da sobra",IF(AND(OR($B472="Entrada",$B472="Saída"),$H472=""),"⚠ Informe a quantidade","OK"))))</f>
        <v/>
      </c>
    </row>
    <row r="473" customFormat="false" ht="15" hidden="false" customHeight="false" outlineLevel="0" collapsed="false">
      <c r="A473" s="22"/>
      <c r="B473" s="18"/>
      <c r="C473" s="18"/>
      <c r="D473" s="19" t="str">
        <f aca="false">IF($C473="","",IFERROR(INDEX(Estoque!$C$6:$C$45,MATCH($C473,Estoque!$A$6:$A$45,0)),"Código não encontrado"))</f>
        <v/>
      </c>
      <c r="E473" s="19" t="str">
        <f aca="false">IF($C473="","",IFERROR(INDEX(Estoque!$B$6:$B$45,MATCH($C473,Estoque!$A$6:$A$45,0)),"Código não encontrado"))</f>
        <v/>
      </c>
      <c r="F473" s="18"/>
      <c r="G473" s="18"/>
      <c r="H473" s="18"/>
      <c r="I473" s="20" t="str">
        <f aca="false">IF(OR($B473="",$C473=""),"",IF(OR($B473="Retorno de sobra",$B473="Saída de sobra"),IFERROR(VLOOKUP($G473,Listas!$A$2:$B$5,2,FALSE()),0)*IF($H473="",1,$H473),$H473))</f>
        <v/>
      </c>
      <c r="J473" s="21" t="str">
        <f aca="false">IF($C473="","",IF(ISNA(MATCH($C473,Estoque!$A$6:$A$45,0)),"⚠ Código não encontrado",IF(AND(OR($B473="Retorno de sobra",$B473="Saída de sobra"),$G473=""),"⚠ Escolha a medida da sobra",IF(AND(OR($B473="Entrada",$B473="Saída"),$H473=""),"⚠ Informe a quantidade","OK"))))</f>
        <v/>
      </c>
    </row>
    <row r="474" customFormat="false" ht="15" hidden="false" customHeight="false" outlineLevel="0" collapsed="false">
      <c r="A474" s="22"/>
      <c r="B474" s="18"/>
      <c r="C474" s="18"/>
      <c r="D474" s="19" t="str">
        <f aca="false">IF($C474="","",IFERROR(INDEX(Estoque!$C$6:$C$45,MATCH($C474,Estoque!$A$6:$A$45,0)),"Código não encontrado"))</f>
        <v/>
      </c>
      <c r="E474" s="19" t="str">
        <f aca="false">IF($C474="","",IFERROR(INDEX(Estoque!$B$6:$B$45,MATCH($C474,Estoque!$A$6:$A$45,0)),"Código não encontrado"))</f>
        <v/>
      </c>
      <c r="F474" s="18"/>
      <c r="G474" s="18"/>
      <c r="H474" s="18"/>
      <c r="I474" s="20" t="str">
        <f aca="false">IF(OR($B474="",$C474=""),"",IF(OR($B474="Retorno de sobra",$B474="Saída de sobra"),IFERROR(VLOOKUP($G474,Listas!$A$2:$B$5,2,FALSE()),0)*IF($H474="",1,$H474),$H474))</f>
        <v/>
      </c>
      <c r="J474" s="21" t="str">
        <f aca="false">IF($C474="","",IF(ISNA(MATCH($C474,Estoque!$A$6:$A$45,0)),"⚠ Código não encontrado",IF(AND(OR($B474="Retorno de sobra",$B474="Saída de sobra"),$G474=""),"⚠ Escolha a medida da sobra",IF(AND(OR($B474="Entrada",$B474="Saída"),$H474=""),"⚠ Informe a quantidade","OK"))))</f>
        <v/>
      </c>
    </row>
    <row r="475" customFormat="false" ht="15" hidden="false" customHeight="false" outlineLevel="0" collapsed="false">
      <c r="A475" s="22"/>
      <c r="B475" s="18"/>
      <c r="C475" s="18"/>
      <c r="D475" s="19" t="str">
        <f aca="false">IF($C475="","",IFERROR(INDEX(Estoque!$C$6:$C$45,MATCH($C475,Estoque!$A$6:$A$45,0)),"Código não encontrado"))</f>
        <v/>
      </c>
      <c r="E475" s="19" t="str">
        <f aca="false">IF($C475="","",IFERROR(INDEX(Estoque!$B$6:$B$45,MATCH($C475,Estoque!$A$6:$A$45,0)),"Código não encontrado"))</f>
        <v/>
      </c>
      <c r="F475" s="18"/>
      <c r="G475" s="18"/>
      <c r="H475" s="18"/>
      <c r="I475" s="20" t="str">
        <f aca="false">IF(OR($B475="",$C475=""),"",IF(OR($B475="Retorno de sobra",$B475="Saída de sobra"),IFERROR(VLOOKUP($G475,Listas!$A$2:$B$5,2,FALSE()),0)*IF($H475="",1,$H475),$H475))</f>
        <v/>
      </c>
      <c r="J475" s="21" t="str">
        <f aca="false">IF($C475="","",IF(ISNA(MATCH($C475,Estoque!$A$6:$A$45,0)),"⚠ Código não encontrado",IF(AND(OR($B475="Retorno de sobra",$B475="Saída de sobra"),$G475=""),"⚠ Escolha a medida da sobra",IF(AND(OR($B475="Entrada",$B475="Saída"),$H475=""),"⚠ Informe a quantidade","OK"))))</f>
        <v/>
      </c>
    </row>
    <row r="476" customFormat="false" ht="15" hidden="false" customHeight="false" outlineLevel="0" collapsed="false">
      <c r="A476" s="22"/>
      <c r="B476" s="18"/>
      <c r="C476" s="18"/>
      <c r="D476" s="19" t="str">
        <f aca="false">IF($C476="","",IFERROR(INDEX(Estoque!$C$6:$C$45,MATCH($C476,Estoque!$A$6:$A$45,0)),"Código não encontrado"))</f>
        <v/>
      </c>
      <c r="E476" s="19" t="str">
        <f aca="false">IF($C476="","",IFERROR(INDEX(Estoque!$B$6:$B$45,MATCH($C476,Estoque!$A$6:$A$45,0)),"Código não encontrado"))</f>
        <v/>
      </c>
      <c r="F476" s="18"/>
      <c r="G476" s="18"/>
      <c r="H476" s="18"/>
      <c r="I476" s="20" t="str">
        <f aca="false">IF(OR($B476="",$C476=""),"",IF(OR($B476="Retorno de sobra",$B476="Saída de sobra"),IFERROR(VLOOKUP($G476,Listas!$A$2:$B$5,2,FALSE()),0)*IF($H476="",1,$H476),$H476))</f>
        <v/>
      </c>
      <c r="J476" s="21" t="str">
        <f aca="false">IF($C476="","",IF(ISNA(MATCH($C476,Estoque!$A$6:$A$45,0)),"⚠ Código não encontrado",IF(AND(OR($B476="Retorno de sobra",$B476="Saída de sobra"),$G476=""),"⚠ Escolha a medida da sobra",IF(AND(OR($B476="Entrada",$B476="Saída"),$H476=""),"⚠ Informe a quantidade","OK"))))</f>
        <v/>
      </c>
    </row>
    <row r="477" customFormat="false" ht="15" hidden="false" customHeight="false" outlineLevel="0" collapsed="false">
      <c r="A477" s="22"/>
      <c r="B477" s="18"/>
      <c r="C477" s="18"/>
      <c r="D477" s="19" t="str">
        <f aca="false">IF($C477="","",IFERROR(INDEX(Estoque!$C$6:$C$45,MATCH($C477,Estoque!$A$6:$A$45,0)),"Código não encontrado"))</f>
        <v/>
      </c>
      <c r="E477" s="19" t="str">
        <f aca="false">IF($C477="","",IFERROR(INDEX(Estoque!$B$6:$B$45,MATCH($C477,Estoque!$A$6:$A$45,0)),"Código não encontrado"))</f>
        <v/>
      </c>
      <c r="F477" s="18"/>
      <c r="G477" s="18"/>
      <c r="H477" s="18"/>
      <c r="I477" s="20" t="str">
        <f aca="false">IF(OR($B477="",$C477=""),"",IF(OR($B477="Retorno de sobra",$B477="Saída de sobra"),IFERROR(VLOOKUP($G477,Listas!$A$2:$B$5,2,FALSE()),0)*IF($H477="",1,$H477),$H477))</f>
        <v/>
      </c>
      <c r="J477" s="21" t="str">
        <f aca="false">IF($C477="","",IF(ISNA(MATCH($C477,Estoque!$A$6:$A$45,0)),"⚠ Código não encontrado",IF(AND(OR($B477="Retorno de sobra",$B477="Saída de sobra"),$G477=""),"⚠ Escolha a medida da sobra",IF(AND(OR($B477="Entrada",$B477="Saída"),$H477=""),"⚠ Informe a quantidade","OK"))))</f>
        <v/>
      </c>
    </row>
    <row r="478" customFormat="false" ht="15" hidden="false" customHeight="false" outlineLevel="0" collapsed="false">
      <c r="A478" s="22"/>
      <c r="B478" s="18"/>
      <c r="C478" s="18"/>
      <c r="D478" s="19" t="str">
        <f aca="false">IF($C478="","",IFERROR(INDEX(Estoque!$C$6:$C$45,MATCH($C478,Estoque!$A$6:$A$45,0)),"Código não encontrado"))</f>
        <v/>
      </c>
      <c r="E478" s="19" t="str">
        <f aca="false">IF($C478="","",IFERROR(INDEX(Estoque!$B$6:$B$45,MATCH($C478,Estoque!$A$6:$A$45,0)),"Código não encontrado"))</f>
        <v/>
      </c>
      <c r="F478" s="18"/>
      <c r="G478" s="18"/>
      <c r="H478" s="18"/>
      <c r="I478" s="20" t="str">
        <f aca="false">IF(OR($B478="",$C478=""),"",IF(OR($B478="Retorno de sobra",$B478="Saída de sobra"),IFERROR(VLOOKUP($G478,Listas!$A$2:$B$5,2,FALSE()),0)*IF($H478="",1,$H478),$H478))</f>
        <v/>
      </c>
      <c r="J478" s="21" t="str">
        <f aca="false">IF($C478="","",IF(ISNA(MATCH($C478,Estoque!$A$6:$A$45,0)),"⚠ Código não encontrado",IF(AND(OR($B478="Retorno de sobra",$B478="Saída de sobra"),$G478=""),"⚠ Escolha a medida da sobra",IF(AND(OR($B478="Entrada",$B478="Saída"),$H478=""),"⚠ Informe a quantidade","OK"))))</f>
        <v/>
      </c>
    </row>
    <row r="479" customFormat="false" ht="15" hidden="false" customHeight="false" outlineLevel="0" collapsed="false">
      <c r="A479" s="22"/>
      <c r="B479" s="18"/>
      <c r="C479" s="18"/>
      <c r="D479" s="19" t="str">
        <f aca="false">IF($C479="","",IFERROR(INDEX(Estoque!$C$6:$C$45,MATCH($C479,Estoque!$A$6:$A$45,0)),"Código não encontrado"))</f>
        <v/>
      </c>
      <c r="E479" s="19" t="str">
        <f aca="false">IF($C479="","",IFERROR(INDEX(Estoque!$B$6:$B$45,MATCH($C479,Estoque!$A$6:$A$45,0)),"Código não encontrado"))</f>
        <v/>
      </c>
      <c r="F479" s="18"/>
      <c r="G479" s="18"/>
      <c r="H479" s="18"/>
      <c r="I479" s="20" t="str">
        <f aca="false">IF(OR($B479="",$C479=""),"",IF(OR($B479="Retorno de sobra",$B479="Saída de sobra"),IFERROR(VLOOKUP($G479,Listas!$A$2:$B$5,2,FALSE()),0)*IF($H479="",1,$H479),$H479))</f>
        <v/>
      </c>
      <c r="J479" s="21" t="str">
        <f aca="false">IF($C479="","",IF(ISNA(MATCH($C479,Estoque!$A$6:$A$45,0)),"⚠ Código não encontrado",IF(AND(OR($B479="Retorno de sobra",$B479="Saída de sobra"),$G479=""),"⚠ Escolha a medida da sobra",IF(AND(OR($B479="Entrada",$B479="Saída"),$H479=""),"⚠ Informe a quantidade","OK"))))</f>
        <v/>
      </c>
    </row>
    <row r="480" customFormat="false" ht="15" hidden="false" customHeight="false" outlineLevel="0" collapsed="false">
      <c r="A480" s="22"/>
      <c r="B480" s="18"/>
      <c r="C480" s="18"/>
      <c r="D480" s="19" t="str">
        <f aca="false">IF($C480="","",IFERROR(INDEX(Estoque!$C$6:$C$45,MATCH($C480,Estoque!$A$6:$A$45,0)),"Código não encontrado"))</f>
        <v/>
      </c>
      <c r="E480" s="19" t="str">
        <f aca="false">IF($C480="","",IFERROR(INDEX(Estoque!$B$6:$B$45,MATCH($C480,Estoque!$A$6:$A$45,0)),"Código não encontrado"))</f>
        <v/>
      </c>
      <c r="F480" s="18"/>
      <c r="G480" s="18"/>
      <c r="H480" s="18"/>
      <c r="I480" s="20" t="str">
        <f aca="false">IF(OR($B480="",$C480=""),"",IF(OR($B480="Retorno de sobra",$B480="Saída de sobra"),IFERROR(VLOOKUP($G480,Listas!$A$2:$B$5,2,FALSE()),0)*IF($H480="",1,$H480),$H480))</f>
        <v/>
      </c>
      <c r="J480" s="21" t="str">
        <f aca="false">IF($C480="","",IF(ISNA(MATCH($C480,Estoque!$A$6:$A$45,0)),"⚠ Código não encontrado",IF(AND(OR($B480="Retorno de sobra",$B480="Saída de sobra"),$G480=""),"⚠ Escolha a medida da sobra",IF(AND(OR($B480="Entrada",$B480="Saída"),$H480=""),"⚠ Informe a quantidade","OK"))))</f>
        <v/>
      </c>
    </row>
    <row r="481" customFormat="false" ht="15" hidden="false" customHeight="false" outlineLevel="0" collapsed="false">
      <c r="A481" s="22"/>
      <c r="B481" s="18"/>
      <c r="C481" s="18"/>
      <c r="D481" s="19" t="str">
        <f aca="false">IF($C481="","",IFERROR(INDEX(Estoque!$C$6:$C$45,MATCH($C481,Estoque!$A$6:$A$45,0)),"Código não encontrado"))</f>
        <v/>
      </c>
      <c r="E481" s="19" t="str">
        <f aca="false">IF($C481="","",IFERROR(INDEX(Estoque!$B$6:$B$45,MATCH($C481,Estoque!$A$6:$A$45,0)),"Código não encontrado"))</f>
        <v/>
      </c>
      <c r="F481" s="18"/>
      <c r="G481" s="18"/>
      <c r="H481" s="18"/>
      <c r="I481" s="20" t="str">
        <f aca="false">IF(OR($B481="",$C481=""),"",IF(OR($B481="Retorno de sobra",$B481="Saída de sobra"),IFERROR(VLOOKUP($G481,Listas!$A$2:$B$5,2,FALSE()),0)*IF($H481="",1,$H481),$H481))</f>
        <v/>
      </c>
      <c r="J481" s="21" t="str">
        <f aca="false">IF($C481="","",IF(ISNA(MATCH($C481,Estoque!$A$6:$A$45,0)),"⚠ Código não encontrado",IF(AND(OR($B481="Retorno de sobra",$B481="Saída de sobra"),$G481=""),"⚠ Escolha a medida da sobra",IF(AND(OR($B481="Entrada",$B481="Saída"),$H481=""),"⚠ Informe a quantidade","OK"))))</f>
        <v/>
      </c>
    </row>
    <row r="482" customFormat="false" ht="15" hidden="false" customHeight="false" outlineLevel="0" collapsed="false">
      <c r="A482" s="22"/>
      <c r="B482" s="18"/>
      <c r="C482" s="18"/>
      <c r="D482" s="19" t="str">
        <f aca="false">IF($C482="","",IFERROR(INDEX(Estoque!$C$6:$C$45,MATCH($C482,Estoque!$A$6:$A$45,0)),"Código não encontrado"))</f>
        <v/>
      </c>
      <c r="E482" s="19" t="str">
        <f aca="false">IF($C482="","",IFERROR(INDEX(Estoque!$B$6:$B$45,MATCH($C482,Estoque!$A$6:$A$45,0)),"Código não encontrado"))</f>
        <v/>
      </c>
      <c r="F482" s="18"/>
      <c r="G482" s="18"/>
      <c r="H482" s="18"/>
      <c r="I482" s="20" t="str">
        <f aca="false">IF(OR($B482="",$C482=""),"",IF(OR($B482="Retorno de sobra",$B482="Saída de sobra"),IFERROR(VLOOKUP($G482,Listas!$A$2:$B$5,2,FALSE()),0)*IF($H482="",1,$H482),$H482))</f>
        <v/>
      </c>
      <c r="J482" s="21" t="str">
        <f aca="false">IF($C482="","",IF(ISNA(MATCH($C482,Estoque!$A$6:$A$45,0)),"⚠ Código não encontrado",IF(AND(OR($B482="Retorno de sobra",$B482="Saída de sobra"),$G482=""),"⚠ Escolha a medida da sobra",IF(AND(OR($B482="Entrada",$B482="Saída"),$H482=""),"⚠ Informe a quantidade","OK"))))</f>
        <v/>
      </c>
    </row>
    <row r="483" customFormat="false" ht="15" hidden="false" customHeight="false" outlineLevel="0" collapsed="false">
      <c r="A483" s="22"/>
      <c r="B483" s="18"/>
      <c r="C483" s="18"/>
      <c r="D483" s="19" t="str">
        <f aca="false">IF($C483="","",IFERROR(INDEX(Estoque!$C$6:$C$45,MATCH($C483,Estoque!$A$6:$A$45,0)),"Código não encontrado"))</f>
        <v/>
      </c>
      <c r="E483" s="19" t="str">
        <f aca="false">IF($C483="","",IFERROR(INDEX(Estoque!$B$6:$B$45,MATCH($C483,Estoque!$A$6:$A$45,0)),"Código não encontrado"))</f>
        <v/>
      </c>
      <c r="F483" s="18"/>
      <c r="G483" s="18"/>
      <c r="H483" s="18"/>
      <c r="I483" s="20" t="str">
        <f aca="false">IF(OR($B483="",$C483=""),"",IF(OR($B483="Retorno de sobra",$B483="Saída de sobra"),IFERROR(VLOOKUP($G483,Listas!$A$2:$B$5,2,FALSE()),0)*IF($H483="",1,$H483),$H483))</f>
        <v/>
      </c>
      <c r="J483" s="21" t="str">
        <f aca="false">IF($C483="","",IF(ISNA(MATCH($C483,Estoque!$A$6:$A$45,0)),"⚠ Código não encontrado",IF(AND(OR($B483="Retorno de sobra",$B483="Saída de sobra"),$G483=""),"⚠ Escolha a medida da sobra",IF(AND(OR($B483="Entrada",$B483="Saída"),$H483=""),"⚠ Informe a quantidade","OK"))))</f>
        <v/>
      </c>
    </row>
    <row r="484" customFormat="false" ht="15" hidden="false" customHeight="false" outlineLevel="0" collapsed="false">
      <c r="A484" s="22"/>
      <c r="B484" s="18"/>
      <c r="C484" s="18"/>
      <c r="D484" s="19" t="str">
        <f aca="false">IF($C484="","",IFERROR(INDEX(Estoque!$C$6:$C$45,MATCH($C484,Estoque!$A$6:$A$45,0)),"Código não encontrado"))</f>
        <v/>
      </c>
      <c r="E484" s="19" t="str">
        <f aca="false">IF($C484="","",IFERROR(INDEX(Estoque!$B$6:$B$45,MATCH($C484,Estoque!$A$6:$A$45,0)),"Código não encontrado"))</f>
        <v/>
      </c>
      <c r="F484" s="18"/>
      <c r="G484" s="18"/>
      <c r="H484" s="18"/>
      <c r="I484" s="20" t="str">
        <f aca="false">IF(OR($B484="",$C484=""),"",IF(OR($B484="Retorno de sobra",$B484="Saída de sobra"),IFERROR(VLOOKUP($G484,Listas!$A$2:$B$5,2,FALSE()),0)*IF($H484="",1,$H484),$H484))</f>
        <v/>
      </c>
      <c r="J484" s="21" t="str">
        <f aca="false">IF($C484="","",IF(ISNA(MATCH($C484,Estoque!$A$6:$A$45,0)),"⚠ Código não encontrado",IF(AND(OR($B484="Retorno de sobra",$B484="Saída de sobra"),$G484=""),"⚠ Escolha a medida da sobra",IF(AND(OR($B484="Entrada",$B484="Saída"),$H484=""),"⚠ Informe a quantidade","OK"))))</f>
        <v/>
      </c>
    </row>
    <row r="485" customFormat="false" ht="15" hidden="false" customHeight="false" outlineLevel="0" collapsed="false">
      <c r="A485" s="22"/>
      <c r="B485" s="18"/>
      <c r="C485" s="18"/>
      <c r="D485" s="19" t="str">
        <f aca="false">IF($C485="","",IFERROR(INDEX(Estoque!$C$6:$C$45,MATCH($C485,Estoque!$A$6:$A$45,0)),"Código não encontrado"))</f>
        <v/>
      </c>
      <c r="E485" s="19" t="str">
        <f aca="false">IF($C485="","",IFERROR(INDEX(Estoque!$B$6:$B$45,MATCH($C485,Estoque!$A$6:$A$45,0)),"Código não encontrado"))</f>
        <v/>
      </c>
      <c r="F485" s="18"/>
      <c r="G485" s="18"/>
      <c r="H485" s="18"/>
      <c r="I485" s="20" t="str">
        <f aca="false">IF(OR($B485="",$C485=""),"",IF(OR($B485="Retorno de sobra",$B485="Saída de sobra"),IFERROR(VLOOKUP($G485,Listas!$A$2:$B$5,2,FALSE()),0)*IF($H485="",1,$H485),$H485))</f>
        <v/>
      </c>
      <c r="J485" s="21" t="str">
        <f aca="false">IF($C485="","",IF(ISNA(MATCH($C485,Estoque!$A$6:$A$45,0)),"⚠ Código não encontrado",IF(AND(OR($B485="Retorno de sobra",$B485="Saída de sobra"),$G485=""),"⚠ Escolha a medida da sobra",IF(AND(OR($B485="Entrada",$B485="Saída"),$H485=""),"⚠ Informe a quantidade","OK"))))</f>
        <v/>
      </c>
    </row>
    <row r="486" customFormat="false" ht="15" hidden="false" customHeight="false" outlineLevel="0" collapsed="false">
      <c r="A486" s="22"/>
      <c r="B486" s="18"/>
      <c r="C486" s="18"/>
      <c r="D486" s="19" t="str">
        <f aca="false">IF($C486="","",IFERROR(INDEX(Estoque!$C$6:$C$45,MATCH($C486,Estoque!$A$6:$A$45,0)),"Código não encontrado"))</f>
        <v/>
      </c>
      <c r="E486" s="19" t="str">
        <f aca="false">IF($C486="","",IFERROR(INDEX(Estoque!$B$6:$B$45,MATCH($C486,Estoque!$A$6:$A$45,0)),"Código não encontrado"))</f>
        <v/>
      </c>
      <c r="F486" s="18"/>
      <c r="G486" s="18"/>
      <c r="H486" s="18"/>
      <c r="I486" s="20" t="str">
        <f aca="false">IF(OR($B486="",$C486=""),"",IF(OR($B486="Retorno de sobra",$B486="Saída de sobra"),IFERROR(VLOOKUP($G486,Listas!$A$2:$B$5,2,FALSE()),0)*IF($H486="",1,$H486),$H486))</f>
        <v/>
      </c>
      <c r="J486" s="21" t="str">
        <f aca="false">IF($C486="","",IF(ISNA(MATCH($C486,Estoque!$A$6:$A$45,0)),"⚠ Código não encontrado",IF(AND(OR($B486="Retorno de sobra",$B486="Saída de sobra"),$G486=""),"⚠ Escolha a medida da sobra",IF(AND(OR($B486="Entrada",$B486="Saída"),$H486=""),"⚠ Informe a quantidade","OK"))))</f>
        <v/>
      </c>
    </row>
    <row r="487" customFormat="false" ht="15" hidden="false" customHeight="false" outlineLevel="0" collapsed="false">
      <c r="A487" s="22"/>
      <c r="B487" s="18"/>
      <c r="C487" s="18"/>
      <c r="D487" s="19" t="str">
        <f aca="false">IF($C487="","",IFERROR(INDEX(Estoque!$C$6:$C$45,MATCH($C487,Estoque!$A$6:$A$45,0)),"Código não encontrado"))</f>
        <v/>
      </c>
      <c r="E487" s="19" t="str">
        <f aca="false">IF($C487="","",IFERROR(INDEX(Estoque!$B$6:$B$45,MATCH($C487,Estoque!$A$6:$A$45,0)),"Código não encontrado"))</f>
        <v/>
      </c>
      <c r="F487" s="18"/>
      <c r="G487" s="18"/>
      <c r="H487" s="18"/>
      <c r="I487" s="20" t="str">
        <f aca="false">IF(OR($B487="",$C487=""),"",IF(OR($B487="Retorno de sobra",$B487="Saída de sobra"),IFERROR(VLOOKUP($G487,Listas!$A$2:$B$5,2,FALSE()),0)*IF($H487="",1,$H487),$H487))</f>
        <v/>
      </c>
      <c r="J487" s="21" t="str">
        <f aca="false">IF($C487="","",IF(ISNA(MATCH($C487,Estoque!$A$6:$A$45,0)),"⚠ Código não encontrado",IF(AND(OR($B487="Retorno de sobra",$B487="Saída de sobra"),$G487=""),"⚠ Escolha a medida da sobra",IF(AND(OR($B487="Entrada",$B487="Saída"),$H487=""),"⚠ Informe a quantidade","OK"))))</f>
        <v/>
      </c>
    </row>
    <row r="488" customFormat="false" ht="15" hidden="false" customHeight="false" outlineLevel="0" collapsed="false">
      <c r="A488" s="22"/>
      <c r="B488" s="18"/>
      <c r="C488" s="18"/>
      <c r="D488" s="19" t="str">
        <f aca="false">IF($C488="","",IFERROR(INDEX(Estoque!$C$6:$C$45,MATCH($C488,Estoque!$A$6:$A$45,0)),"Código não encontrado"))</f>
        <v/>
      </c>
      <c r="E488" s="19" t="str">
        <f aca="false">IF($C488="","",IFERROR(INDEX(Estoque!$B$6:$B$45,MATCH($C488,Estoque!$A$6:$A$45,0)),"Código não encontrado"))</f>
        <v/>
      </c>
      <c r="F488" s="18"/>
      <c r="G488" s="18"/>
      <c r="H488" s="18"/>
      <c r="I488" s="20" t="str">
        <f aca="false">IF(OR($B488="",$C488=""),"",IF(OR($B488="Retorno de sobra",$B488="Saída de sobra"),IFERROR(VLOOKUP($G488,Listas!$A$2:$B$5,2,FALSE()),0)*IF($H488="",1,$H488),$H488))</f>
        <v/>
      </c>
      <c r="J488" s="21" t="str">
        <f aca="false">IF($C488="","",IF(ISNA(MATCH($C488,Estoque!$A$6:$A$45,0)),"⚠ Código não encontrado",IF(AND(OR($B488="Retorno de sobra",$B488="Saída de sobra"),$G488=""),"⚠ Escolha a medida da sobra",IF(AND(OR($B488="Entrada",$B488="Saída"),$H488=""),"⚠ Informe a quantidade","OK"))))</f>
        <v/>
      </c>
    </row>
    <row r="489" customFormat="false" ht="15" hidden="false" customHeight="false" outlineLevel="0" collapsed="false">
      <c r="A489" s="22"/>
      <c r="B489" s="18"/>
      <c r="C489" s="18"/>
      <c r="D489" s="19" t="str">
        <f aca="false">IF($C489="","",IFERROR(INDEX(Estoque!$C$6:$C$45,MATCH($C489,Estoque!$A$6:$A$45,0)),"Código não encontrado"))</f>
        <v/>
      </c>
      <c r="E489" s="19" t="str">
        <f aca="false">IF($C489="","",IFERROR(INDEX(Estoque!$B$6:$B$45,MATCH($C489,Estoque!$A$6:$A$45,0)),"Código não encontrado"))</f>
        <v/>
      </c>
      <c r="F489" s="18"/>
      <c r="G489" s="18"/>
      <c r="H489" s="18"/>
      <c r="I489" s="20" t="str">
        <f aca="false">IF(OR($B489="",$C489=""),"",IF(OR($B489="Retorno de sobra",$B489="Saída de sobra"),IFERROR(VLOOKUP($G489,Listas!$A$2:$B$5,2,FALSE()),0)*IF($H489="",1,$H489),$H489))</f>
        <v/>
      </c>
      <c r="J489" s="21" t="str">
        <f aca="false">IF($C489="","",IF(ISNA(MATCH($C489,Estoque!$A$6:$A$45,0)),"⚠ Código não encontrado",IF(AND(OR($B489="Retorno de sobra",$B489="Saída de sobra"),$G489=""),"⚠ Escolha a medida da sobra",IF(AND(OR($B489="Entrada",$B489="Saída"),$H489=""),"⚠ Informe a quantidade","OK"))))</f>
        <v/>
      </c>
    </row>
    <row r="490" customFormat="false" ht="15" hidden="false" customHeight="false" outlineLevel="0" collapsed="false">
      <c r="A490" s="22"/>
      <c r="B490" s="18"/>
      <c r="C490" s="18"/>
      <c r="D490" s="19" t="str">
        <f aca="false">IF($C490="","",IFERROR(INDEX(Estoque!$C$6:$C$45,MATCH($C490,Estoque!$A$6:$A$45,0)),"Código não encontrado"))</f>
        <v/>
      </c>
      <c r="E490" s="19" t="str">
        <f aca="false">IF($C490="","",IFERROR(INDEX(Estoque!$B$6:$B$45,MATCH($C490,Estoque!$A$6:$A$45,0)),"Código não encontrado"))</f>
        <v/>
      </c>
      <c r="F490" s="18"/>
      <c r="G490" s="18"/>
      <c r="H490" s="18"/>
      <c r="I490" s="20" t="str">
        <f aca="false">IF(OR($B490="",$C490=""),"",IF(OR($B490="Retorno de sobra",$B490="Saída de sobra"),IFERROR(VLOOKUP($G490,Listas!$A$2:$B$5,2,FALSE()),0)*IF($H490="",1,$H490),$H490))</f>
        <v/>
      </c>
      <c r="J490" s="21" t="str">
        <f aca="false">IF($C490="","",IF(ISNA(MATCH($C490,Estoque!$A$6:$A$45,0)),"⚠ Código não encontrado",IF(AND(OR($B490="Retorno de sobra",$B490="Saída de sobra"),$G490=""),"⚠ Escolha a medida da sobra",IF(AND(OR($B490="Entrada",$B490="Saída"),$H490=""),"⚠ Informe a quantidade","OK"))))</f>
        <v/>
      </c>
    </row>
    <row r="491" customFormat="false" ht="15" hidden="false" customHeight="false" outlineLevel="0" collapsed="false">
      <c r="A491" s="22"/>
      <c r="B491" s="18"/>
      <c r="C491" s="18"/>
      <c r="D491" s="19" t="str">
        <f aca="false">IF($C491="","",IFERROR(INDEX(Estoque!$C$6:$C$45,MATCH($C491,Estoque!$A$6:$A$45,0)),"Código não encontrado"))</f>
        <v/>
      </c>
      <c r="E491" s="19" t="str">
        <f aca="false">IF($C491="","",IFERROR(INDEX(Estoque!$B$6:$B$45,MATCH($C491,Estoque!$A$6:$A$45,0)),"Código não encontrado"))</f>
        <v/>
      </c>
      <c r="F491" s="18"/>
      <c r="G491" s="18"/>
      <c r="H491" s="18"/>
      <c r="I491" s="20" t="str">
        <f aca="false">IF(OR($B491="",$C491=""),"",IF(OR($B491="Retorno de sobra",$B491="Saída de sobra"),IFERROR(VLOOKUP($G491,Listas!$A$2:$B$5,2,FALSE()),0)*IF($H491="",1,$H491),$H491))</f>
        <v/>
      </c>
      <c r="J491" s="21" t="str">
        <f aca="false">IF($C491="","",IF(ISNA(MATCH($C491,Estoque!$A$6:$A$45,0)),"⚠ Código não encontrado",IF(AND(OR($B491="Retorno de sobra",$B491="Saída de sobra"),$G491=""),"⚠ Escolha a medida da sobra",IF(AND(OR($B491="Entrada",$B491="Saída"),$H491=""),"⚠ Informe a quantidade","OK"))))</f>
        <v/>
      </c>
    </row>
    <row r="492" customFormat="false" ht="15" hidden="false" customHeight="false" outlineLevel="0" collapsed="false">
      <c r="A492" s="22"/>
      <c r="B492" s="18"/>
      <c r="C492" s="18"/>
      <c r="D492" s="19" t="str">
        <f aca="false">IF($C492="","",IFERROR(INDEX(Estoque!$C$6:$C$45,MATCH($C492,Estoque!$A$6:$A$45,0)),"Código não encontrado"))</f>
        <v/>
      </c>
      <c r="E492" s="19" t="str">
        <f aca="false">IF($C492="","",IFERROR(INDEX(Estoque!$B$6:$B$45,MATCH($C492,Estoque!$A$6:$A$45,0)),"Código não encontrado"))</f>
        <v/>
      </c>
      <c r="F492" s="18"/>
      <c r="G492" s="18"/>
      <c r="H492" s="18"/>
      <c r="I492" s="20" t="str">
        <f aca="false">IF(OR($B492="",$C492=""),"",IF(OR($B492="Retorno de sobra",$B492="Saída de sobra"),IFERROR(VLOOKUP($G492,Listas!$A$2:$B$5,2,FALSE()),0)*IF($H492="",1,$H492),$H492))</f>
        <v/>
      </c>
      <c r="J492" s="21" t="str">
        <f aca="false">IF($C492="","",IF(ISNA(MATCH($C492,Estoque!$A$6:$A$45,0)),"⚠ Código não encontrado",IF(AND(OR($B492="Retorno de sobra",$B492="Saída de sobra"),$G492=""),"⚠ Escolha a medida da sobra",IF(AND(OR($B492="Entrada",$B492="Saída"),$H492=""),"⚠ Informe a quantidade","OK"))))</f>
        <v/>
      </c>
    </row>
    <row r="493" customFormat="false" ht="15" hidden="false" customHeight="false" outlineLevel="0" collapsed="false">
      <c r="A493" s="22"/>
      <c r="B493" s="18"/>
      <c r="C493" s="18"/>
      <c r="D493" s="19" t="str">
        <f aca="false">IF($C493="","",IFERROR(INDEX(Estoque!$C$6:$C$45,MATCH($C493,Estoque!$A$6:$A$45,0)),"Código não encontrado"))</f>
        <v/>
      </c>
      <c r="E493" s="19" t="str">
        <f aca="false">IF($C493="","",IFERROR(INDEX(Estoque!$B$6:$B$45,MATCH($C493,Estoque!$A$6:$A$45,0)),"Código não encontrado"))</f>
        <v/>
      </c>
      <c r="F493" s="18"/>
      <c r="G493" s="18"/>
      <c r="H493" s="18"/>
      <c r="I493" s="20" t="str">
        <f aca="false">IF(OR($B493="",$C493=""),"",IF(OR($B493="Retorno de sobra",$B493="Saída de sobra"),IFERROR(VLOOKUP($G493,Listas!$A$2:$B$5,2,FALSE()),0)*IF($H493="",1,$H493),$H493))</f>
        <v/>
      </c>
      <c r="J493" s="21" t="str">
        <f aca="false">IF($C493="","",IF(ISNA(MATCH($C493,Estoque!$A$6:$A$45,0)),"⚠ Código não encontrado",IF(AND(OR($B493="Retorno de sobra",$B493="Saída de sobra"),$G493=""),"⚠ Escolha a medida da sobra",IF(AND(OR($B493="Entrada",$B493="Saída"),$H493=""),"⚠ Informe a quantidade","OK"))))</f>
        <v/>
      </c>
    </row>
    <row r="494" customFormat="false" ht="15" hidden="false" customHeight="false" outlineLevel="0" collapsed="false">
      <c r="A494" s="22"/>
      <c r="B494" s="18"/>
      <c r="C494" s="18"/>
      <c r="D494" s="19" t="str">
        <f aca="false">IF($C494="","",IFERROR(INDEX(Estoque!$C$6:$C$45,MATCH($C494,Estoque!$A$6:$A$45,0)),"Código não encontrado"))</f>
        <v/>
      </c>
      <c r="E494" s="19" t="str">
        <f aca="false">IF($C494="","",IFERROR(INDEX(Estoque!$B$6:$B$45,MATCH($C494,Estoque!$A$6:$A$45,0)),"Código não encontrado"))</f>
        <v/>
      </c>
      <c r="F494" s="18"/>
      <c r="G494" s="18"/>
      <c r="H494" s="18"/>
      <c r="I494" s="20" t="str">
        <f aca="false">IF(OR($B494="",$C494=""),"",IF(OR($B494="Retorno de sobra",$B494="Saída de sobra"),IFERROR(VLOOKUP($G494,Listas!$A$2:$B$5,2,FALSE()),0)*IF($H494="",1,$H494),$H494))</f>
        <v/>
      </c>
      <c r="J494" s="21" t="str">
        <f aca="false">IF($C494="","",IF(ISNA(MATCH($C494,Estoque!$A$6:$A$45,0)),"⚠ Código não encontrado",IF(AND(OR($B494="Retorno de sobra",$B494="Saída de sobra"),$G494=""),"⚠ Escolha a medida da sobra",IF(AND(OR($B494="Entrada",$B494="Saída"),$H494=""),"⚠ Informe a quantidade","OK"))))</f>
        <v/>
      </c>
    </row>
    <row r="495" customFormat="false" ht="15" hidden="false" customHeight="false" outlineLevel="0" collapsed="false">
      <c r="A495" s="22"/>
      <c r="B495" s="18"/>
      <c r="C495" s="18"/>
      <c r="D495" s="19" t="str">
        <f aca="false">IF($C495="","",IFERROR(INDEX(Estoque!$C$6:$C$45,MATCH($C495,Estoque!$A$6:$A$45,0)),"Código não encontrado"))</f>
        <v/>
      </c>
      <c r="E495" s="19" t="str">
        <f aca="false">IF($C495="","",IFERROR(INDEX(Estoque!$B$6:$B$45,MATCH($C495,Estoque!$A$6:$A$45,0)),"Código não encontrado"))</f>
        <v/>
      </c>
      <c r="F495" s="18"/>
      <c r="G495" s="18"/>
      <c r="H495" s="18"/>
      <c r="I495" s="20" t="str">
        <f aca="false">IF(OR($B495="",$C495=""),"",IF(OR($B495="Retorno de sobra",$B495="Saída de sobra"),IFERROR(VLOOKUP($G495,Listas!$A$2:$B$5,2,FALSE()),0)*IF($H495="",1,$H495),$H495))</f>
        <v/>
      </c>
      <c r="J495" s="21" t="str">
        <f aca="false">IF($C495="","",IF(ISNA(MATCH($C495,Estoque!$A$6:$A$45,0)),"⚠ Código não encontrado",IF(AND(OR($B495="Retorno de sobra",$B495="Saída de sobra"),$G495=""),"⚠ Escolha a medida da sobra",IF(AND(OR($B495="Entrada",$B495="Saída"),$H495=""),"⚠ Informe a quantidade","OK"))))</f>
        <v/>
      </c>
    </row>
    <row r="496" customFormat="false" ht="15" hidden="false" customHeight="false" outlineLevel="0" collapsed="false">
      <c r="A496" s="22"/>
      <c r="B496" s="18"/>
      <c r="C496" s="18"/>
      <c r="D496" s="19" t="str">
        <f aca="false">IF($C496="","",IFERROR(INDEX(Estoque!$C$6:$C$45,MATCH($C496,Estoque!$A$6:$A$45,0)),"Código não encontrado"))</f>
        <v/>
      </c>
      <c r="E496" s="19" t="str">
        <f aca="false">IF($C496="","",IFERROR(INDEX(Estoque!$B$6:$B$45,MATCH($C496,Estoque!$A$6:$A$45,0)),"Código não encontrado"))</f>
        <v/>
      </c>
      <c r="F496" s="18"/>
      <c r="G496" s="18"/>
      <c r="H496" s="18"/>
      <c r="I496" s="20" t="str">
        <f aca="false">IF(OR($B496="",$C496=""),"",IF(OR($B496="Retorno de sobra",$B496="Saída de sobra"),IFERROR(VLOOKUP($G496,Listas!$A$2:$B$5,2,FALSE()),0)*IF($H496="",1,$H496),$H496))</f>
        <v/>
      </c>
      <c r="J496" s="21" t="str">
        <f aca="false">IF($C496="","",IF(ISNA(MATCH($C496,Estoque!$A$6:$A$45,0)),"⚠ Código não encontrado",IF(AND(OR($B496="Retorno de sobra",$B496="Saída de sobra"),$G496=""),"⚠ Escolha a medida da sobra",IF(AND(OR($B496="Entrada",$B496="Saída"),$H496=""),"⚠ Informe a quantidade","OK"))))</f>
        <v/>
      </c>
    </row>
    <row r="497" customFormat="false" ht="15" hidden="false" customHeight="false" outlineLevel="0" collapsed="false">
      <c r="A497" s="22"/>
      <c r="B497" s="18"/>
      <c r="C497" s="18"/>
      <c r="D497" s="19" t="str">
        <f aca="false">IF($C497="","",IFERROR(INDEX(Estoque!$C$6:$C$45,MATCH($C497,Estoque!$A$6:$A$45,0)),"Código não encontrado"))</f>
        <v/>
      </c>
      <c r="E497" s="19" t="str">
        <f aca="false">IF($C497="","",IFERROR(INDEX(Estoque!$B$6:$B$45,MATCH($C497,Estoque!$A$6:$A$45,0)),"Código não encontrado"))</f>
        <v/>
      </c>
      <c r="F497" s="18"/>
      <c r="G497" s="18"/>
      <c r="H497" s="18"/>
      <c r="I497" s="20" t="str">
        <f aca="false">IF(OR($B497="",$C497=""),"",IF(OR($B497="Retorno de sobra",$B497="Saída de sobra"),IFERROR(VLOOKUP($G497,Listas!$A$2:$B$5,2,FALSE()),0)*IF($H497="",1,$H497),$H497))</f>
        <v/>
      </c>
      <c r="J497" s="21" t="str">
        <f aca="false">IF($C497="","",IF(ISNA(MATCH($C497,Estoque!$A$6:$A$45,0)),"⚠ Código não encontrado",IF(AND(OR($B497="Retorno de sobra",$B497="Saída de sobra"),$G497=""),"⚠ Escolha a medida da sobra",IF(AND(OR($B497="Entrada",$B497="Saída"),$H497=""),"⚠ Informe a quantidade","OK"))))</f>
        <v/>
      </c>
    </row>
    <row r="498" customFormat="false" ht="15" hidden="false" customHeight="false" outlineLevel="0" collapsed="false">
      <c r="A498" s="22"/>
      <c r="B498" s="18"/>
      <c r="C498" s="18"/>
      <c r="D498" s="19" t="str">
        <f aca="false">IF($C498="","",IFERROR(INDEX(Estoque!$C$6:$C$45,MATCH($C498,Estoque!$A$6:$A$45,0)),"Código não encontrado"))</f>
        <v/>
      </c>
      <c r="E498" s="19" t="str">
        <f aca="false">IF($C498="","",IFERROR(INDEX(Estoque!$B$6:$B$45,MATCH($C498,Estoque!$A$6:$A$45,0)),"Código não encontrado"))</f>
        <v/>
      </c>
      <c r="F498" s="18"/>
      <c r="G498" s="18"/>
      <c r="H498" s="18"/>
      <c r="I498" s="20" t="str">
        <f aca="false">IF(OR($B498="",$C498=""),"",IF(OR($B498="Retorno de sobra",$B498="Saída de sobra"),IFERROR(VLOOKUP($G498,Listas!$A$2:$B$5,2,FALSE()),0)*IF($H498="",1,$H498),$H498))</f>
        <v/>
      </c>
      <c r="J498" s="21" t="str">
        <f aca="false">IF($C498="","",IF(ISNA(MATCH($C498,Estoque!$A$6:$A$45,0)),"⚠ Código não encontrado",IF(AND(OR($B498="Retorno de sobra",$B498="Saída de sobra"),$G498=""),"⚠ Escolha a medida da sobra",IF(AND(OR($B498="Entrada",$B498="Saída"),$H498=""),"⚠ Informe a quantidade","OK"))))</f>
        <v/>
      </c>
    </row>
    <row r="499" customFormat="false" ht="15" hidden="false" customHeight="false" outlineLevel="0" collapsed="false">
      <c r="A499" s="22"/>
      <c r="B499" s="18"/>
      <c r="C499" s="18"/>
      <c r="D499" s="19" t="str">
        <f aca="false">IF($C499="","",IFERROR(INDEX(Estoque!$C$6:$C$45,MATCH($C499,Estoque!$A$6:$A$45,0)),"Código não encontrado"))</f>
        <v/>
      </c>
      <c r="E499" s="19" t="str">
        <f aca="false">IF($C499="","",IFERROR(INDEX(Estoque!$B$6:$B$45,MATCH($C499,Estoque!$A$6:$A$45,0)),"Código não encontrado"))</f>
        <v/>
      </c>
      <c r="F499" s="18"/>
      <c r="G499" s="18"/>
      <c r="H499" s="18"/>
      <c r="I499" s="20" t="str">
        <f aca="false">IF(OR($B499="",$C499=""),"",IF(OR($B499="Retorno de sobra",$B499="Saída de sobra"),IFERROR(VLOOKUP($G499,Listas!$A$2:$B$5,2,FALSE()),0)*IF($H499="",1,$H499),$H499))</f>
        <v/>
      </c>
      <c r="J499" s="21" t="str">
        <f aca="false">IF($C499="","",IF(ISNA(MATCH($C499,Estoque!$A$6:$A$45,0)),"⚠ Código não encontrado",IF(AND(OR($B499="Retorno de sobra",$B499="Saída de sobra"),$G499=""),"⚠ Escolha a medida da sobra",IF(AND(OR($B499="Entrada",$B499="Saída"),$H499=""),"⚠ Informe a quantidade","OK"))))</f>
        <v/>
      </c>
    </row>
    <row r="500" customFormat="false" ht="15" hidden="false" customHeight="false" outlineLevel="0" collapsed="false">
      <c r="A500" s="22"/>
      <c r="B500" s="18"/>
      <c r="C500" s="18"/>
      <c r="D500" s="19" t="str">
        <f aca="false">IF($C500="","",IFERROR(INDEX(Estoque!$C$6:$C$45,MATCH($C500,Estoque!$A$6:$A$45,0)),"Código não encontrado"))</f>
        <v/>
      </c>
      <c r="E500" s="19" t="str">
        <f aca="false">IF($C500="","",IFERROR(INDEX(Estoque!$B$6:$B$45,MATCH($C500,Estoque!$A$6:$A$45,0)),"Código não encontrado"))</f>
        <v/>
      </c>
      <c r="F500" s="18"/>
      <c r="G500" s="18"/>
      <c r="H500" s="18"/>
      <c r="I500" s="20" t="str">
        <f aca="false">IF(OR($B500="",$C500=""),"",IF(OR($B500="Retorno de sobra",$B500="Saída de sobra"),IFERROR(VLOOKUP($G500,Listas!$A$2:$B$5,2,FALSE()),0)*IF($H500="",1,$H500),$H500))</f>
        <v/>
      </c>
      <c r="J500" s="21" t="str">
        <f aca="false">IF($C500="","",IF(ISNA(MATCH($C500,Estoque!$A$6:$A$45,0)),"⚠ Código não encontrado",IF(AND(OR($B500="Retorno de sobra",$B500="Saída de sobra"),$G500=""),"⚠ Escolha a medida da sobra",IF(AND(OR($B500="Entrada",$B500="Saída"),$H500=""),"⚠ Informe a quantidade","OK"))))</f>
        <v/>
      </c>
    </row>
    <row r="501" customFormat="false" ht="15" hidden="false" customHeight="false" outlineLevel="0" collapsed="false">
      <c r="A501" s="22"/>
      <c r="B501" s="18"/>
      <c r="C501" s="18"/>
      <c r="D501" s="19" t="str">
        <f aca="false">IF($C501="","",IFERROR(INDEX(Estoque!$C$6:$C$45,MATCH($C501,Estoque!$A$6:$A$45,0)),"Código não encontrado"))</f>
        <v/>
      </c>
      <c r="E501" s="19" t="str">
        <f aca="false">IF($C501="","",IFERROR(INDEX(Estoque!$B$6:$B$45,MATCH($C501,Estoque!$A$6:$A$45,0)),"Código não encontrado"))</f>
        <v/>
      </c>
      <c r="F501" s="18"/>
      <c r="G501" s="18"/>
      <c r="H501" s="18"/>
      <c r="I501" s="20" t="str">
        <f aca="false">IF(OR($B501="",$C501=""),"",IF(OR($B501="Retorno de sobra",$B501="Saída de sobra"),IFERROR(VLOOKUP($G501,Listas!$A$2:$B$5,2,FALSE()),0)*IF($H501="",1,$H501),$H501))</f>
        <v/>
      </c>
      <c r="J501" s="21" t="str">
        <f aca="false">IF($C501="","",IF(ISNA(MATCH($C501,Estoque!$A$6:$A$45,0)),"⚠ Código não encontrado",IF(AND(OR($B501="Retorno de sobra",$B501="Saída de sobra"),$G501=""),"⚠ Escolha a medida da sobra",IF(AND(OR($B501="Entrada",$B501="Saída"),$H501=""),"⚠ Informe a quantidade","OK"))))</f>
        <v/>
      </c>
    </row>
    <row r="502" customFormat="false" ht="15" hidden="false" customHeight="false" outlineLevel="0" collapsed="false">
      <c r="A502" s="22"/>
      <c r="B502" s="18"/>
      <c r="C502" s="18"/>
      <c r="D502" s="19" t="str">
        <f aca="false">IF($C502="","",IFERROR(INDEX(Estoque!$C$6:$C$45,MATCH($C502,Estoque!$A$6:$A$45,0)),"Código não encontrado"))</f>
        <v/>
      </c>
      <c r="E502" s="19" t="str">
        <f aca="false">IF($C502="","",IFERROR(INDEX(Estoque!$B$6:$B$45,MATCH($C502,Estoque!$A$6:$A$45,0)),"Código não encontrado"))</f>
        <v/>
      </c>
      <c r="F502" s="18"/>
      <c r="G502" s="18"/>
      <c r="H502" s="18"/>
      <c r="I502" s="20" t="str">
        <f aca="false">IF(OR($B502="",$C502=""),"",IF(OR($B502="Retorno de sobra",$B502="Saída de sobra"),IFERROR(VLOOKUP($G502,Listas!$A$2:$B$5,2,FALSE()),0)*IF($H502="",1,$H502),$H502))</f>
        <v/>
      </c>
      <c r="J502" s="21" t="str">
        <f aca="false">IF($C502="","",IF(ISNA(MATCH($C502,Estoque!$A$6:$A$45,0)),"⚠ Código não encontrado",IF(AND(OR($B502="Retorno de sobra",$B502="Saída de sobra"),$G502=""),"⚠ Escolha a medida da sobra",IF(AND(OR($B502="Entrada",$B502="Saída"),$H502=""),"⚠ Informe a quantidade","OK"))))</f>
        <v/>
      </c>
    </row>
    <row r="503" customFormat="false" ht="15" hidden="false" customHeight="false" outlineLevel="0" collapsed="false">
      <c r="A503" s="22"/>
      <c r="B503" s="18"/>
      <c r="C503" s="18"/>
      <c r="D503" s="19" t="str">
        <f aca="false">IF($C503="","",IFERROR(INDEX(Estoque!$C$6:$C$45,MATCH($C503,Estoque!$A$6:$A$45,0)),"Código não encontrado"))</f>
        <v/>
      </c>
      <c r="E503" s="19" t="str">
        <f aca="false">IF($C503="","",IFERROR(INDEX(Estoque!$B$6:$B$45,MATCH($C503,Estoque!$A$6:$A$45,0)),"Código não encontrado"))</f>
        <v/>
      </c>
      <c r="F503" s="18"/>
      <c r="G503" s="18"/>
      <c r="H503" s="18"/>
      <c r="I503" s="20" t="str">
        <f aca="false">IF(OR($B503="",$C503=""),"",IF(OR($B503="Retorno de sobra",$B503="Saída de sobra"),IFERROR(VLOOKUP($G503,Listas!$A$2:$B$5,2,FALSE()),0)*IF($H503="",1,$H503),$H503))</f>
        <v/>
      </c>
      <c r="J503" s="21" t="str">
        <f aca="false">IF($C503="","",IF(ISNA(MATCH($C503,Estoque!$A$6:$A$45,0)),"⚠ Código não encontrado",IF(AND(OR($B503="Retorno de sobra",$B503="Saída de sobra"),$G503=""),"⚠ Escolha a medida da sobra",IF(AND(OR($B503="Entrada",$B503="Saída"),$H503=""),"⚠ Informe a quantidade","OK"))))</f>
        <v/>
      </c>
    </row>
    <row r="504" customFormat="false" ht="15" hidden="false" customHeight="false" outlineLevel="0" collapsed="false">
      <c r="A504" s="22"/>
      <c r="B504" s="18"/>
      <c r="C504" s="18"/>
      <c r="D504" s="19" t="str">
        <f aca="false">IF($C504="","",IFERROR(INDEX(Estoque!$C$6:$C$45,MATCH($C504,Estoque!$A$6:$A$45,0)),"Código não encontrado"))</f>
        <v/>
      </c>
      <c r="E504" s="19" t="str">
        <f aca="false">IF($C504="","",IFERROR(INDEX(Estoque!$B$6:$B$45,MATCH($C504,Estoque!$A$6:$A$45,0)),"Código não encontrado"))</f>
        <v/>
      </c>
      <c r="F504" s="18"/>
      <c r="G504" s="18"/>
      <c r="H504" s="18"/>
      <c r="I504" s="20" t="str">
        <f aca="false">IF(OR($B504="",$C504=""),"",IF(OR($B504="Retorno de sobra",$B504="Saída de sobra"),IFERROR(VLOOKUP($G504,Listas!$A$2:$B$5,2,FALSE()),0)*IF($H504="",1,$H504),$H504))</f>
        <v/>
      </c>
      <c r="J504" s="21" t="str">
        <f aca="false">IF($C504="","",IF(ISNA(MATCH($C504,Estoque!$A$6:$A$45,0)),"⚠ Código não encontrado",IF(AND(OR($B504="Retorno de sobra",$B504="Saída de sobra"),$G504=""),"⚠ Escolha a medida da sobra",IF(AND(OR($B504="Entrada",$B504="Saída"),$H504=""),"⚠ Informe a quantidade","OK"))))</f>
        <v/>
      </c>
    </row>
    <row r="505" customFormat="false" ht="15" hidden="false" customHeight="false" outlineLevel="0" collapsed="false">
      <c r="A505" s="22"/>
      <c r="B505" s="18"/>
      <c r="C505" s="18"/>
      <c r="D505" s="19" t="str">
        <f aca="false">IF($C505="","",IFERROR(INDEX(Estoque!$C$6:$C$45,MATCH($C505,Estoque!$A$6:$A$45,0)),"Código não encontrado"))</f>
        <v/>
      </c>
      <c r="E505" s="19" t="str">
        <f aca="false">IF($C505="","",IFERROR(INDEX(Estoque!$B$6:$B$45,MATCH($C505,Estoque!$A$6:$A$45,0)),"Código não encontrado"))</f>
        <v/>
      </c>
      <c r="F505" s="18"/>
      <c r="G505" s="18"/>
      <c r="H505" s="18"/>
      <c r="I505" s="20" t="str">
        <f aca="false">IF(OR($B505="",$C505=""),"",IF(OR($B505="Retorno de sobra",$B505="Saída de sobra"),IFERROR(VLOOKUP($G505,Listas!$A$2:$B$5,2,FALSE()),0)*IF($H505="",1,$H505),$H505))</f>
        <v/>
      </c>
      <c r="J505" s="21" t="str">
        <f aca="false">IF($C505="","",IF(ISNA(MATCH($C505,Estoque!$A$6:$A$45,0)),"⚠ Código não encontrado",IF(AND(OR($B505="Retorno de sobra",$B505="Saída de sobra"),$G505=""),"⚠ Escolha a medida da sobra",IF(AND(OR($B505="Entrada",$B505="Saída"),$H505=""),"⚠ Informe a quantidade","OK"))))</f>
        <v/>
      </c>
    </row>
  </sheetData>
  <conditionalFormatting sqref="J6:J505">
    <cfRule type="expression" priority="2" aboveAverage="0" equalAverage="0" bottom="0" percent="0" rank="0" text="" dxfId="0">
      <formula>LEFT(J6,1)="⚠"</formula>
    </cfRule>
    <cfRule type="expression" priority="3" aboveAverage="0" equalAverage="0" bottom="0" percent="0" rank="0" text="" dxfId="2">
      <formula>J6="OK"</formula>
    </cfRule>
  </conditionalFormatting>
  <dataValidations count="3">
    <dataValidation allowBlank="false" errorStyle="stop" operator="between" showDropDown="false" showErrorMessage="true" showInputMessage="false" sqref="B6:B505" type="list">
      <formula1>Listas!$D$2:$D$5</formula1>
      <formula2>0</formula2>
    </dataValidation>
    <dataValidation allowBlank="false" error="Escolha um código cadastrado na aba Estoque." errorStyle="stop" errorTitle="Código inválido" operator="between" showDropDown="false" showErrorMessage="true" showInputMessage="false" sqref="C6:C505" type="list">
      <formula1>Estoque!$A$6:$A$45</formula1>
      <formula2>0</formula2>
    </dataValidation>
    <dataValidation allowBlank="true" errorStyle="stop" operator="between" showDropDown="false" showErrorMessage="false" showInputMessage="false" sqref="G6:G505" type="list">
      <formula1>Listas!$A$2:$A$5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2026-10-15T18:03:32Z</dcterms:created>
  <dc:creator>openpyxl</dc:creator>
  <dc:description/>
  <dc:language>en-US</dc:language>
  <cp:lastModifiedBy/>
  <dcterms:modified xsi:type="dcterms:W3CDTF">2026-10-15T18:03:35Z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